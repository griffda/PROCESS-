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filterPrivacy="1" showInkAnnotation="0" codeName="ThisWorkbook" autoCompressPictures="0"/>
  <xr:revisionPtr revIDLastSave="1" documentId="13_ncr:1_{4AC6CA0F-4EE6-45F7-8FF6-928CBDC787B7}" xr6:coauthVersionLast="45" xr6:coauthVersionMax="45" xr10:uidLastSave="{D226A842-9581-454B-A3ED-83B685A1CBE2}"/>
  <bookViews>
    <workbookView xWindow="-23148" yWindow="-108" windowWidth="23256" windowHeight="12576" tabRatio="500" activeTab="4" xr2:uid="{00000000-000D-0000-FFFF-FFFF00000000}"/>
  </bookViews>
  <sheets>
    <sheet name="1.Home" sheetId="12" r:id="rId1"/>
    <sheet name="2.Cooling" sheetId="7" r:id="rId2"/>
    <sheet name="3.Report" sheetId="13" r:id="rId3"/>
    <sheet name="Charts" sheetId="6" state="hidden" r:id="rId4"/>
    <sheet name="Model" sheetId="4" r:id="rId5"/>
    <sheet name="Sheet2" sheetId="14" r:id="rId6"/>
    <sheet name="Specific Enthalpy" sheetId="16" r:id="rId7"/>
    <sheet name="Current Enthalpy" sheetId="17" r:id="rId8"/>
    <sheet name="Enthalpy 1" sheetId="18" r:id="rId9"/>
    <sheet name="Enthalpy 2" sheetId="19" r:id="rId10"/>
    <sheet name="INPUTS" sheetId="20" r:id="rId11"/>
    <sheet name="OUTPUTS" sheetId="21" r:id="rId12"/>
    <sheet name="Sheet1" sheetId="15" state="hidden" r:id="rId13"/>
  </sheets>
  <functionGroups builtInGroupCount="19"/>
  <definedNames>
    <definedName name="App">Model!$D$35</definedName>
    <definedName name="canTreat">Model!$Q$70</definedName>
    <definedName name="CAPEXtreat">Model!$K$70</definedName>
    <definedName name="CaseName">Model!$C$1</definedName>
    <definedName name="Cep">Model!$D$52</definedName>
    <definedName name="CF">Model!$D$29</definedName>
    <definedName name="Cgf">Model!$D$50</definedName>
    <definedName name="chkFlagUnits">'2.Cooling'!$DA$32</definedName>
    <definedName name="COC">Model!$D$18</definedName>
    <definedName name="Cro">Model!$D$51</definedName>
    <definedName name="Cscc">Model!$D$49</definedName>
    <definedName name="Ctf">Model!$D$48</definedName>
    <definedName name="Dhdes">Model!$K$16</definedName>
    <definedName name="Dtca">Model!$D$20</definedName>
    <definedName name="Dtcr">Model!$D$21</definedName>
    <definedName name="Dtpond">Model!$K$41</definedName>
    <definedName name="Dtta">Model!$D$22</definedName>
    <definedName name="Ebpnr">Model!$D$6</definedName>
    <definedName name="Fb">Model!$K$49</definedName>
    <definedName name="Fcc">Model!$K$11</definedName>
    <definedName name="Fcc_DPcp_Ecp_Eem_9866">Model!$K$11</definedName>
    <definedName name="Fd">Model!$K$48</definedName>
    <definedName name="Fe">Model!$K$47</definedName>
    <definedName name="FlagSelection">'2.Cooling'!$CZ$31</definedName>
    <definedName name="FlagSource">'2.Cooling'!$DA$31</definedName>
    <definedName name="flgCC">Model!$P$66</definedName>
    <definedName name="flgGF">Model!$P$68</definedName>
    <definedName name="flgReservoir">Model!$P$71</definedName>
    <definedName name="flgRO">Model!$P$67</definedName>
    <definedName name="flgTF">Model!$P$65</definedName>
    <definedName name="flgTower">Model!$P$72</definedName>
    <definedName name="flgTreat">Model!$P$70</definedName>
    <definedName name="Fmcc">Model!$K$26</definedName>
    <definedName name="Fmu">Model!$K$50</definedName>
    <definedName name="Friver">Model!$D$13</definedName>
    <definedName name="Fwtin">Model!$K$63</definedName>
    <definedName name="GOR">Model!$D$27</definedName>
    <definedName name="hcar">Model!$K$23</definedName>
    <definedName name="he">Model!$K$6</definedName>
    <definedName name="i">Model!$D$33</definedName>
    <definedName name="Le">Model!$D$32</definedName>
    <definedName name="location">Model!$C$2</definedName>
    <definedName name="lpc">Model!$D$34</definedName>
    <definedName name="Mgrace">Model!$K$59</definedName>
    <definedName name="NH3_">Model!$D$40</definedName>
    <definedName name="OPEXtreat">Model!$K$81</definedName>
    <definedName name="Pen">Model!$D$4</definedName>
    <definedName name="qcc">Model!$K$12</definedName>
    <definedName name="Qcr">Model!$K$9</definedName>
    <definedName name="Qd">Model!$K$17</definedName>
    <definedName name="qmcc">Model!$K$27</definedName>
    <definedName name="Qmcr">Model!$K$25</definedName>
    <definedName name="RH">Model!$D$11</definedName>
    <definedName name="Spond">Model!$K$43</definedName>
    <definedName name="SpondOT">Model!$D$14</definedName>
    <definedName name="Tair">Model!$D$10</definedName>
    <definedName name="Tc">Model!$K$5</definedName>
    <definedName name="Tcm">Model!$K$22</definedName>
    <definedName name="TDS">Model!$D$38</definedName>
    <definedName name="Tgrace">Model!$D$44</definedName>
    <definedName name="Tmb">Model!$D$28</definedName>
    <definedName name="Tmix">Model!$K$31</definedName>
    <definedName name="Tms">Model!$D$5</definedName>
    <definedName name="Tpond">Model!$K$42</definedName>
    <definedName name="TSS">Model!$D$39</definedName>
    <definedName name="Tsw">Model!$D$9</definedName>
    <definedName name="Twb">Model!$K$4</definedName>
    <definedName name="Type">Model!$D$17</definedName>
    <definedName name="Uev">Model!$K$32</definedName>
    <definedName name="Utot">Model!$K$33</definedName>
    <definedName name="uwind">Model!$D$12</definedName>
    <definedName name="Wd">Model!$D$26</definedName>
    <definedName name="wqMessage">Charts!$AG$105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41" i="4" l="1"/>
  <c r="C39" i="14"/>
  <c r="I43" i="14" s="1"/>
  <c r="K32" i="4" a="1"/>
  <c r="K32" i="4" l="1"/>
  <c r="E195" i="13"/>
  <c r="E176" i="13"/>
  <c r="K34" i="4" a="1"/>
  <c r="K34" i="4" l="1"/>
  <c r="E18" i="13"/>
  <c r="K22" i="4"/>
  <c r="D17" i="4" l="1"/>
  <c r="O6" i="16" l="1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5" i="16"/>
  <c r="J75" i="16"/>
  <c r="J76" i="16"/>
  <c r="J77" i="16"/>
  <c r="J78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5" i="16"/>
  <c r="D6" i="16"/>
  <c r="D7" i="16"/>
  <c r="D8" i="16"/>
  <c r="D9" i="16"/>
  <c r="D10" i="16"/>
  <c r="D11" i="16"/>
  <c r="E11" i="16" s="1"/>
  <c r="D12" i="16"/>
  <c r="D13" i="16"/>
  <c r="E13" i="16" s="1"/>
  <c r="D14" i="16"/>
  <c r="D15" i="16"/>
  <c r="D16" i="16"/>
  <c r="D17" i="16"/>
  <c r="D18" i="16"/>
  <c r="D19" i="16"/>
  <c r="E19" i="16" s="1"/>
  <c r="D20" i="16"/>
  <c r="D21" i="16"/>
  <c r="E21" i="16" s="1"/>
  <c r="D22" i="16"/>
  <c r="D23" i="16"/>
  <c r="D24" i="16"/>
  <c r="D25" i="16"/>
  <c r="D26" i="16"/>
  <c r="D27" i="16"/>
  <c r="E27" i="16" s="1"/>
  <c r="D28" i="16"/>
  <c r="D29" i="16"/>
  <c r="E29" i="16" s="1"/>
  <c r="D30" i="16"/>
  <c r="D31" i="16"/>
  <c r="D32" i="16"/>
  <c r="D33" i="16"/>
  <c r="D34" i="16"/>
  <c r="D35" i="16"/>
  <c r="E35" i="16" s="1"/>
  <c r="D36" i="16"/>
  <c r="D37" i="16"/>
  <c r="D38" i="16"/>
  <c r="D39" i="16"/>
  <c r="D40" i="16"/>
  <c r="D41" i="16"/>
  <c r="D42" i="16"/>
  <c r="D43" i="16"/>
  <c r="E43" i="16" s="1"/>
  <c r="D44" i="16"/>
  <c r="D45" i="16"/>
  <c r="D46" i="16"/>
  <c r="D47" i="16"/>
  <c r="D48" i="16"/>
  <c r="D49" i="16"/>
  <c r="D50" i="16"/>
  <c r="D51" i="16"/>
  <c r="E51" i="16" s="1"/>
  <c r="D52" i="16"/>
  <c r="D53" i="16"/>
  <c r="D54" i="16"/>
  <c r="D55" i="16"/>
  <c r="D56" i="16"/>
  <c r="D57" i="16"/>
  <c r="D58" i="16"/>
  <c r="D59" i="16"/>
  <c r="E59" i="16" s="1"/>
  <c r="D60" i="16"/>
  <c r="D61" i="16"/>
  <c r="D62" i="16"/>
  <c r="D63" i="16"/>
  <c r="D64" i="16"/>
  <c r="D65" i="16"/>
  <c r="D66" i="16"/>
  <c r="D67" i="16"/>
  <c r="E67" i="16" s="1"/>
  <c r="D68" i="16"/>
  <c r="D69" i="16"/>
  <c r="D70" i="16"/>
  <c r="D71" i="16"/>
  <c r="D72" i="16"/>
  <c r="D73" i="16"/>
  <c r="D74" i="16"/>
  <c r="D75" i="16"/>
  <c r="E75" i="16" s="1"/>
  <c r="D76" i="16"/>
  <c r="D77" i="16"/>
  <c r="D78" i="16"/>
  <c r="D79" i="16"/>
  <c r="D80" i="16"/>
  <c r="D81" i="16"/>
  <c r="D5" i="16"/>
  <c r="E78" i="16" l="1"/>
  <c r="E62" i="16"/>
  <c r="E54" i="16"/>
  <c r="E68" i="16"/>
  <c r="E76" i="16"/>
  <c r="E52" i="16"/>
  <c r="E60" i="16"/>
  <c r="E44" i="16"/>
  <c r="E74" i="16"/>
  <c r="E66" i="16"/>
  <c r="E58" i="16"/>
  <c r="E50" i="16"/>
  <c r="E42" i="16"/>
  <c r="E34" i="16"/>
  <c r="E26" i="16"/>
  <c r="E18" i="16"/>
  <c r="E10" i="16"/>
  <c r="E36" i="16"/>
  <c r="E28" i="16"/>
  <c r="E20" i="16"/>
  <c r="E12" i="16"/>
  <c r="E31" i="16"/>
  <c r="E46" i="16"/>
  <c r="E38" i="16"/>
  <c r="E30" i="16"/>
  <c r="E22" i="16"/>
  <c r="E14" i="16"/>
  <c r="E6" i="16"/>
  <c r="E70" i="16"/>
  <c r="E80" i="16"/>
  <c r="E72" i="16"/>
  <c r="E64" i="16"/>
  <c r="E56" i="16"/>
  <c r="E48" i="16"/>
  <c r="E40" i="16"/>
  <c r="E32" i="16"/>
  <c r="E24" i="16"/>
  <c r="E16" i="16"/>
  <c r="E8" i="16"/>
  <c r="E5" i="16"/>
  <c r="E79" i="16"/>
  <c r="E71" i="16"/>
  <c r="E63" i="16"/>
  <c r="E55" i="16"/>
  <c r="E47" i="16"/>
  <c r="E39" i="16"/>
  <c r="E23" i="16"/>
  <c r="E15" i="16"/>
  <c r="E7" i="16"/>
  <c r="E81" i="16"/>
  <c r="E73" i="16"/>
  <c r="E65" i="16"/>
  <c r="E57" i="16"/>
  <c r="E49" i="16"/>
  <c r="E41" i="16"/>
  <c r="E33" i="16"/>
  <c r="E25" i="16"/>
  <c r="E17" i="16"/>
  <c r="E9" i="16"/>
  <c r="E77" i="16"/>
  <c r="E69" i="16"/>
  <c r="E61" i="16"/>
  <c r="E53" i="16"/>
  <c r="E45" i="16"/>
  <c r="E37" i="16"/>
  <c r="Q70" i="4"/>
  <c r="Z78" i="4"/>
  <c r="G125" i="13" l="1"/>
  <c r="G124" i="13"/>
  <c r="G123" i="13"/>
  <c r="F24" i="13"/>
  <c r="E24" i="13"/>
  <c r="B24" i="13"/>
  <c r="K8" i="4" l="1"/>
  <c r="K9" i="4" s="1"/>
  <c r="D2" i="4"/>
  <c r="P68" i="4"/>
  <c r="Q68" i="4" s="1"/>
  <c r="AS94" i="6"/>
  <c r="P67" i="4"/>
  <c r="Q67" i="4" s="1"/>
  <c r="AS93" i="6"/>
  <c r="P66" i="4"/>
  <c r="Q66" i="4" s="1"/>
  <c r="P65" i="4"/>
  <c r="P72" i="4"/>
  <c r="P71" i="4" s="1"/>
  <c r="P70" i="4" l="1"/>
  <c r="BS12" i="7" s="1"/>
  <c r="Q65" i="4"/>
  <c r="M13" i="4"/>
  <c r="M76" i="4" l="1"/>
  <c r="M77" i="4"/>
  <c r="M79" i="4"/>
  <c r="M75" i="4"/>
  <c r="M80" i="4"/>
  <c r="M78" i="4"/>
  <c r="AS92" i="6"/>
  <c r="AS91" i="6"/>
  <c r="R28" i="4" l="1"/>
  <c r="R27" i="4"/>
  <c r="R26" i="4"/>
  <c r="AP112" i="6"/>
  <c r="AP109" i="6"/>
  <c r="AP110" i="6"/>
  <c r="F44" i="4" l="1"/>
  <c r="E191" i="13"/>
  <c r="E190" i="13"/>
  <c r="E189" i="13"/>
  <c r="E188" i="13"/>
  <c r="E187" i="13"/>
  <c r="E186" i="13"/>
  <c r="E185" i="13"/>
  <c r="E180" i="13"/>
  <c r="E181" i="13"/>
  <c r="E175" i="13"/>
  <c r="E174" i="13"/>
  <c r="F168" i="13"/>
  <c r="E39" i="13" l="1"/>
  <c r="E35" i="13"/>
  <c r="E36" i="13"/>
  <c r="F6" i="15"/>
  <c r="D6" i="15"/>
  <c r="AG105" i="6" l="1"/>
  <c r="N149" i="6" l="1"/>
  <c r="N146" i="6" s="1"/>
  <c r="W150" i="6"/>
  <c r="E10" i="13" l="1"/>
  <c r="F71" i="13" l="1"/>
  <c r="E71" i="13"/>
  <c r="B71" i="13"/>
  <c r="F49" i="7"/>
  <c r="AB11" i="4"/>
  <c r="AB10" i="4"/>
  <c r="AB7" i="4"/>
  <c r="T133" i="6" l="1"/>
  <c r="S132" i="6"/>
  <c r="E198" i="13" l="1"/>
  <c r="E202" i="13"/>
  <c r="E206" i="13"/>
  <c r="E199" i="13"/>
  <c r="E203" i="13"/>
  <c r="E207" i="13"/>
  <c r="E196" i="13"/>
  <c r="E200" i="13"/>
  <c r="E204" i="13"/>
  <c r="E208" i="13"/>
  <c r="E197" i="13"/>
  <c r="E201" i="13"/>
  <c r="E205" i="13"/>
  <c r="CZ43" i="7"/>
  <c r="F31" i="7" s="1"/>
  <c r="Q131" i="6"/>
  <c r="Q129" i="6"/>
  <c r="U108" i="6"/>
  <c r="E70" i="13"/>
  <c r="E69" i="13"/>
  <c r="E68" i="13"/>
  <c r="H73" i="13"/>
  <c r="F73" i="13"/>
  <c r="B73" i="13"/>
  <c r="E7" i="4"/>
  <c r="E11" i="13"/>
  <c r="M6" i="4"/>
  <c r="E42" i="13" l="1"/>
  <c r="E43" i="13"/>
  <c r="D11" i="4"/>
  <c r="K4" i="4"/>
  <c r="E20" i="13" l="1"/>
  <c r="K5" i="4"/>
  <c r="E8" i="13"/>
  <c r="F117" i="13"/>
  <c r="CD50" i="7"/>
  <c r="K23" i="4" l="1"/>
  <c r="CZ42" i="7"/>
  <c r="CZ41" i="7"/>
  <c r="CZ40" i="7"/>
  <c r="F61" i="13" l="1"/>
  <c r="E66" i="13"/>
  <c r="E23" i="13" l="1"/>
  <c r="E22" i="13"/>
  <c r="E19" i="13"/>
  <c r="E9" i="13"/>
  <c r="F40" i="7" l="1"/>
  <c r="E21" i="13"/>
  <c r="CZ39" i="7"/>
  <c r="E67" i="13" l="1"/>
  <c r="E4" i="13" l="1"/>
  <c r="H49" i="6" l="1"/>
  <c r="F37" i="7"/>
  <c r="F46" i="7"/>
  <c r="F44" i="7"/>
  <c r="F42" i="7"/>
  <c r="F28" i="7"/>
  <c r="F29" i="7"/>
  <c r="F30" i="7"/>
  <c r="F27" i="7"/>
  <c r="K36" i="4" l="1"/>
  <c r="M4" i="4"/>
  <c r="K18" i="4" l="1"/>
  <c r="I4" i="6"/>
  <c r="R44" i="4"/>
  <c r="M4" i="6" l="1"/>
  <c r="M6" i="6"/>
  <c r="M7" i="6"/>
  <c r="K42" i="4"/>
  <c r="D5" i="6"/>
  <c r="C5" i="6" s="1"/>
  <c r="C4" i="6" s="1"/>
  <c r="D4" i="6"/>
  <c r="X46" i="6"/>
  <c r="M5" i="6"/>
  <c r="K16" i="4"/>
  <c r="T60" i="4"/>
  <c r="K17" i="4" l="1"/>
  <c r="K25" i="4" s="1"/>
  <c r="K26" i="4" s="1"/>
  <c r="W115" i="6"/>
  <c r="O113" i="6"/>
  <c r="O116" i="6"/>
  <c r="O89" i="6"/>
  <c r="P85" i="6" s="1"/>
  <c r="L6" i="6"/>
  <c r="L5" i="6"/>
  <c r="L7" i="6"/>
  <c r="R33" i="4"/>
  <c r="K6" i="4"/>
  <c r="K47" i="4"/>
  <c r="M8" i="4" l="1"/>
  <c r="I133" i="6"/>
  <c r="L145" i="6"/>
  <c r="K4" i="6"/>
  <c r="K7" i="6" s="1"/>
  <c r="L4" i="6"/>
  <c r="K91" i="6"/>
  <c r="R45" i="6"/>
  <c r="L84" i="6"/>
  <c r="L35" i="6"/>
  <c r="R34" i="4"/>
  <c r="T10" i="4" l="1"/>
  <c r="K24" i="4"/>
  <c r="M24" i="4" s="1"/>
  <c r="X10" i="4"/>
  <c r="K56" i="4"/>
  <c r="K13" i="4"/>
  <c r="K5" i="6"/>
  <c r="K6" i="6" s="1"/>
  <c r="J4" i="6"/>
  <c r="J5" i="6" s="1"/>
  <c r="R35" i="4"/>
  <c r="K10" i="4"/>
  <c r="X11" i="4" l="1"/>
  <c r="X12" i="4"/>
  <c r="X13" i="4"/>
  <c r="X14" i="4"/>
  <c r="G147" i="6"/>
  <c r="E12" i="13"/>
  <c r="K11" i="4"/>
  <c r="T54" i="4"/>
  <c r="H115" i="6" l="1"/>
  <c r="H130" i="6"/>
  <c r="M11" i="4"/>
  <c r="K55" i="4"/>
  <c r="V149" i="6" s="1"/>
  <c r="I5" i="6"/>
  <c r="I6" i="6" s="1"/>
  <c r="I7" i="6" s="1"/>
  <c r="K12" i="4"/>
  <c r="H87" i="6"/>
  <c r="O48" i="6"/>
  <c r="B5" i="6"/>
  <c r="W10" i="4" l="1"/>
  <c r="N131" i="6"/>
  <c r="O118" i="6"/>
  <c r="N148" i="6"/>
  <c r="K31" i="4"/>
  <c r="S133" i="6" s="1"/>
  <c r="E28" i="13"/>
  <c r="O87" i="6"/>
  <c r="K48" i="4"/>
  <c r="U48" i="6"/>
  <c r="K27" i="4"/>
  <c r="K33" i="4"/>
  <c r="K43" i="4"/>
  <c r="K37" i="4"/>
  <c r="U10" i="4" l="1"/>
  <c r="U11" i="4" s="1"/>
  <c r="DA34" i="7" s="1"/>
  <c r="E75" i="13" s="1"/>
  <c r="E73" i="13"/>
  <c r="U119" i="6"/>
  <c r="K44" i="4"/>
  <c r="M44" i="4" s="1"/>
  <c r="M43" i="4"/>
  <c r="G73" i="13" s="1"/>
  <c r="W13" i="4"/>
  <c r="W12" i="4"/>
  <c r="W9" i="4"/>
  <c r="W8" i="4" s="1"/>
  <c r="W11" i="4"/>
  <c r="W14" i="4"/>
  <c r="T13" i="4"/>
  <c r="T11" i="4"/>
  <c r="K49" i="4"/>
  <c r="K50" i="4" s="1"/>
  <c r="T7" i="4" l="1"/>
  <c r="V7" i="4" s="1"/>
  <c r="T9" i="4"/>
  <c r="DA33" i="7" s="1"/>
  <c r="K45" i="4"/>
  <c r="V9" i="4" s="1"/>
  <c r="T8" i="4"/>
  <c r="M34" i="4"/>
  <c r="DB34" i="7"/>
  <c r="R92" i="6"/>
  <c r="V10" i="4"/>
  <c r="K63" i="4"/>
  <c r="K60" i="4"/>
  <c r="AI142" i="6" l="1"/>
  <c r="O63" i="4"/>
  <c r="Q63" i="4" s="1"/>
  <c r="K66" i="4"/>
  <c r="K67" i="4"/>
  <c r="K65" i="4"/>
  <c r="K68" i="4"/>
  <c r="AN78" i="6"/>
  <c r="CZ34" i="7"/>
  <c r="G75" i="13"/>
  <c r="K52" i="4"/>
  <c r="O52" i="4" s="1"/>
  <c r="V13" i="4"/>
  <c r="V11" i="4"/>
  <c r="V8" i="4"/>
  <c r="K51" i="4"/>
  <c r="T92" i="6"/>
  <c r="E74" i="13" l="1"/>
  <c r="E29" i="13" s="1"/>
  <c r="K78" i="4"/>
  <c r="E139" i="13" s="1"/>
  <c r="K80" i="4"/>
  <c r="E141" i="13" s="1"/>
  <c r="K75" i="4"/>
  <c r="E136" i="13" s="1"/>
  <c r="K79" i="4"/>
  <c r="E140" i="13" s="1"/>
  <c r="K77" i="4"/>
  <c r="E138" i="13" s="1"/>
  <c r="K76" i="4"/>
  <c r="E137" i="13" s="1"/>
  <c r="F132" i="13"/>
  <c r="E132" i="13"/>
  <c r="F130" i="13"/>
  <c r="E130" i="13"/>
  <c r="E129" i="13"/>
  <c r="F129" i="13"/>
  <c r="E131" i="13"/>
  <c r="F131" i="13"/>
  <c r="K70" i="4"/>
  <c r="K59" i="4"/>
  <c r="B100" i="13" s="1"/>
  <c r="DB33" i="7"/>
  <c r="DA35" i="7"/>
  <c r="M51" i="4"/>
  <c r="M52" i="4"/>
  <c r="G74" i="13" l="1"/>
  <c r="G78" i="13" s="1"/>
  <c r="E78" i="13"/>
  <c r="CZ37" i="7"/>
  <c r="C20" i="7" s="1"/>
  <c r="K81" i="4"/>
  <c r="E142" i="13"/>
  <c r="D147" i="13" s="1"/>
  <c r="E49" i="13" s="1"/>
  <c r="E133" i="13"/>
  <c r="D146" i="13" s="1"/>
  <c r="E48" i="13" s="1"/>
  <c r="AO142" i="6"/>
  <c r="CZ33" i="7"/>
  <c r="DB35" i="7"/>
  <c r="CZ35" i="7" s="1"/>
  <c r="CY46" i="7" s="1"/>
  <c r="E76" i="13"/>
  <c r="E30" i="13" s="1"/>
  <c r="DA36" i="7"/>
  <c r="E77" i="13" s="1"/>
  <c r="E31" i="13" s="1"/>
  <c r="D107" i="13" l="1"/>
  <c r="F48" i="13" s="1"/>
  <c r="D105" i="13"/>
  <c r="CZ38" i="7"/>
  <c r="F20" i="7" s="1"/>
  <c r="D108" i="13" s="1"/>
  <c r="F49" i="13" s="1"/>
  <c r="D148" i="13"/>
  <c r="E50" i="13"/>
  <c r="CY47" i="7"/>
  <c r="CZ36" i="7"/>
  <c r="F12" i="7"/>
  <c r="G76" i="13"/>
  <c r="DB36" i="7"/>
  <c r="G77" i="13" s="1"/>
  <c r="F50" i="13" l="1"/>
  <c r="G50" i="13" s="1"/>
  <c r="D109" i="13"/>
  <c r="C12" i="7"/>
  <c r="E38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1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1 open
2 wet
3 dry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<sst xmlns="http://schemas.openxmlformats.org/spreadsheetml/2006/main" count="980" uniqueCount="495">
  <si>
    <t>Efficiency</t>
  </si>
  <si>
    <t>Evaporation Rate</t>
  </si>
  <si>
    <t>Make up</t>
  </si>
  <si>
    <t>Bleed</t>
  </si>
  <si>
    <t>Cycle of Concentration</t>
  </si>
  <si>
    <t>COC</t>
  </si>
  <si>
    <t>MW</t>
  </si>
  <si>
    <t>tn/s</t>
  </si>
  <si>
    <t>Tc</t>
  </si>
  <si>
    <t>kj/kg</t>
  </si>
  <si>
    <t>Power Plant</t>
  </si>
  <si>
    <t>m3/s</t>
  </si>
  <si>
    <t>°C</t>
  </si>
  <si>
    <t>Dry cooling</t>
  </si>
  <si>
    <t>Electric Capacity</t>
  </si>
  <si>
    <t>Type of Cooling</t>
  </si>
  <si>
    <t>Water Withdrawal</t>
  </si>
  <si>
    <t>Water Consumption</t>
  </si>
  <si>
    <t>GOR</t>
  </si>
  <si>
    <t>Capacity</t>
  </si>
  <si>
    <t>Desalination Plant</t>
  </si>
  <si>
    <t>Tmb</t>
  </si>
  <si>
    <t>Ambient Conditions</t>
  </si>
  <si>
    <t>Air Temperature</t>
  </si>
  <si>
    <t>Relative Humidity</t>
  </si>
  <si>
    <t>Pen</t>
  </si>
  <si>
    <t>he</t>
  </si>
  <si>
    <t>Tsw</t>
  </si>
  <si>
    <t>Tair</t>
  </si>
  <si>
    <t>RH</t>
  </si>
  <si>
    <t>Wd</t>
  </si>
  <si>
    <t>Max Brine Temperature</t>
  </si>
  <si>
    <t>Condenser Range</t>
  </si>
  <si>
    <t>Condenser Approach</t>
  </si>
  <si>
    <t>Cooling Tower Approach</t>
  </si>
  <si>
    <t>Condenser Water Flow</t>
  </si>
  <si>
    <t>Condenser Reject Heat</t>
  </si>
  <si>
    <t>Qcr</t>
  </si>
  <si>
    <t>Fcc</t>
  </si>
  <si>
    <t>Condenser cooling water pump</t>
  </si>
  <si>
    <t>qcc</t>
  </si>
  <si>
    <t>Fe</t>
  </si>
  <si>
    <t>Fb</t>
  </si>
  <si>
    <t>Fmu</t>
  </si>
  <si>
    <t>condensing Temperature</t>
  </si>
  <si>
    <t>Dtca</t>
  </si>
  <si>
    <t>Dtcr</t>
  </si>
  <si>
    <t>Dtta</t>
  </si>
  <si>
    <t>Type</t>
  </si>
  <si>
    <t>Twb</t>
  </si>
  <si>
    <t>Power lost</t>
  </si>
  <si>
    <t>hcar</t>
  </si>
  <si>
    <t>Tcm</t>
  </si>
  <si>
    <t>Mod Condensing Temperature</t>
  </si>
  <si>
    <t>Heat needed for desal</t>
  </si>
  <si>
    <t>Qd</t>
  </si>
  <si>
    <t>Latent Heat of Desal</t>
  </si>
  <si>
    <t>Dhdes</t>
  </si>
  <si>
    <t>MWe</t>
  </si>
  <si>
    <t>MWth</t>
  </si>
  <si>
    <t>Qle</t>
  </si>
  <si>
    <t>Desal Plant</t>
  </si>
  <si>
    <t>Dual Purpose</t>
  </si>
  <si>
    <t>Single Purpose</t>
  </si>
  <si>
    <t>Wet Bulb Temperature</t>
  </si>
  <si>
    <t>Mod Condeser Reject</t>
  </si>
  <si>
    <t>Mod Condenser Water Flow</t>
  </si>
  <si>
    <t>Mod Condenser cooling water pump</t>
  </si>
  <si>
    <t>Qmcr</t>
  </si>
  <si>
    <t>Fmcc</t>
  </si>
  <si>
    <t>qmcc</t>
  </si>
  <si>
    <t>Power lost ratio</t>
  </si>
  <si>
    <t>Drift loss</t>
  </si>
  <si>
    <t>Fd</t>
  </si>
  <si>
    <t>Once Through</t>
  </si>
  <si>
    <t>Energy generated</t>
  </si>
  <si>
    <t>MWh/s</t>
  </si>
  <si>
    <t>tn/MWh</t>
  </si>
  <si>
    <t>Surface Water Temperature</t>
  </si>
  <si>
    <t>River</t>
  </si>
  <si>
    <t>Wet cooling (Cooling Tower)</t>
  </si>
  <si>
    <t>Air Flow</t>
  </si>
  <si>
    <t>Condensate Flow</t>
  </si>
  <si>
    <t>Water withdrawal</t>
  </si>
  <si>
    <t>CF</t>
  </si>
  <si>
    <t>Cond</t>
  </si>
  <si>
    <t>OT</t>
  </si>
  <si>
    <t>DC</t>
  </si>
  <si>
    <t>WC</t>
  </si>
  <si>
    <t>km3/d</t>
  </si>
  <si>
    <t>kWh/m3</t>
  </si>
  <si>
    <t>MODIFY PARAMETERS</t>
  </si>
  <si>
    <t>Cooling Pond</t>
  </si>
  <si>
    <t>Evaporation</t>
  </si>
  <si>
    <t>Wind Speed</t>
  </si>
  <si>
    <t>m/s</t>
  </si>
  <si>
    <t>uwind</t>
  </si>
  <si>
    <t>Heat Transfer coefficient</t>
  </si>
  <si>
    <t>Surface needed</t>
  </si>
  <si>
    <t>Temperature increment in pond</t>
  </si>
  <si>
    <t>Dtpond</t>
  </si>
  <si>
    <t>Spond</t>
  </si>
  <si>
    <t>km2</t>
  </si>
  <si>
    <t>Evpond</t>
  </si>
  <si>
    <t>Avg water temperature in pond</t>
  </si>
  <si>
    <t>Tpond</t>
  </si>
  <si>
    <t>Recirculation mode</t>
  </si>
  <si>
    <t>Temperature after mixing</t>
  </si>
  <si>
    <t>With pond</t>
  </si>
  <si>
    <t>kW/m2K</t>
  </si>
  <si>
    <t>River flow</t>
  </si>
  <si>
    <t>Friver</t>
  </si>
  <si>
    <t>Evap transfer coeff</t>
  </si>
  <si>
    <t>Uev</t>
  </si>
  <si>
    <t>Utot</t>
  </si>
  <si>
    <t>Tmix</t>
  </si>
  <si>
    <t>Evriver</t>
  </si>
  <si>
    <t>Pond area for once through</t>
  </si>
  <si>
    <t>SpondOT</t>
  </si>
  <si>
    <t>Dth</t>
  </si>
  <si>
    <t>STEP1</t>
  </si>
  <si>
    <t>btnStep1</t>
  </si>
  <si>
    <t>STEP2</t>
  </si>
  <si>
    <t>btnStep2</t>
  </si>
  <si>
    <t>STEP3</t>
  </si>
  <si>
    <t>btnStep3</t>
  </si>
  <si>
    <t>STEP4</t>
  </si>
  <si>
    <t>btnStep4</t>
  </si>
  <si>
    <t>Live Steam Temperature</t>
  </si>
  <si>
    <t>Tms</t>
  </si>
  <si>
    <t>Ambient conditions</t>
  </si>
  <si>
    <t>Visual</t>
  </si>
  <si>
    <t>Impingment</t>
  </si>
  <si>
    <t>Plume</t>
  </si>
  <si>
    <t>Thermal polution</t>
  </si>
  <si>
    <t>RESULTS</t>
  </si>
  <si>
    <t>ENVIRONMENTAL IMPACT</t>
  </si>
  <si>
    <t>WITHDRAWAL</t>
  </si>
  <si>
    <t>COSTS</t>
  </si>
  <si>
    <t>CONSUMPTION</t>
  </si>
  <si>
    <t>Water discharge</t>
  </si>
  <si>
    <t>Water evaporated</t>
  </si>
  <si>
    <t>Drift</t>
  </si>
  <si>
    <t>Water Use</t>
  </si>
  <si>
    <t>Costs</t>
  </si>
  <si>
    <t>Operating</t>
  </si>
  <si>
    <t>Visual impact</t>
  </si>
  <si>
    <t>CAPITAL (M$)</t>
  </si>
  <si>
    <t>Cap cost</t>
  </si>
  <si>
    <t>Op cost</t>
  </si>
  <si>
    <t>Net reference output</t>
  </si>
  <si>
    <t>Case Study:</t>
  </si>
  <si>
    <t>Summary of Results</t>
  </si>
  <si>
    <t>Reactor electric capacity</t>
  </si>
  <si>
    <t>Reactor thermal capacity</t>
  </si>
  <si>
    <t>Reference efficiency</t>
  </si>
  <si>
    <t>Annualized Investment Cost</t>
  </si>
  <si>
    <t>M$</t>
  </si>
  <si>
    <t>Total Operating Costs</t>
  </si>
  <si>
    <t>Total Cost</t>
  </si>
  <si>
    <t>Design variables</t>
  </si>
  <si>
    <t>Results</t>
  </si>
  <si>
    <r>
      <t>m</t>
    </r>
    <r>
      <rPr>
        <vertAlign val="superscript"/>
        <sz val="10"/>
        <color theme="1"/>
        <rFont val="Calibri"/>
        <family val="2"/>
      </rPr>
      <t>3</t>
    </r>
    <r>
      <rPr>
        <sz val="10"/>
        <color theme="1"/>
        <rFont val="Calibri"/>
        <family val="2"/>
      </rPr>
      <t>/s</t>
    </r>
  </si>
  <si>
    <t>size</t>
  </si>
  <si>
    <t>During construction (4-5 years)</t>
  </si>
  <si>
    <t>Excavation</t>
  </si>
  <si>
    <t>Concrete mixing</t>
  </si>
  <si>
    <t>Supply for construction staff</t>
  </si>
  <si>
    <t>Peak (6500 m3/d)</t>
  </si>
  <si>
    <t>During comissioning</t>
  </si>
  <si>
    <t>Flushing,cleaning etc</t>
  </si>
  <si>
    <t>Drinking water</t>
  </si>
  <si>
    <t>(200 - 400 m3/d)</t>
  </si>
  <si>
    <t>Recirculating cooling water</t>
  </si>
  <si>
    <t>Evaporation losses</t>
  </si>
  <si>
    <t>Blow-down losses</t>
  </si>
  <si>
    <t>Make up water to compensate losses</t>
  </si>
  <si>
    <t>(2x950MWe)</t>
  </si>
  <si>
    <t>Secondary makeup</t>
  </si>
  <si>
    <t>m3/month</t>
  </si>
  <si>
    <t>Sanitary and potable</t>
  </si>
  <si>
    <t>Waste Treatment</t>
  </si>
  <si>
    <t>Condesate Polishing Plant</t>
  </si>
  <si>
    <t>Component cooling water make up</t>
  </si>
  <si>
    <t>Fire protection</t>
  </si>
  <si>
    <t>Primary makeup</t>
  </si>
  <si>
    <t>Rejected heat</t>
  </si>
  <si>
    <t>Power Plant Specifications</t>
  </si>
  <si>
    <t>Dry bulb temperature</t>
  </si>
  <si>
    <t>Wet bulb Temperature</t>
  </si>
  <si>
    <t>Cooling system analysis</t>
  </si>
  <si>
    <t>Evaporation loss</t>
  </si>
  <si>
    <t>Cooling system makeup water</t>
  </si>
  <si>
    <t>Cycles of concentration</t>
  </si>
  <si>
    <t>Surface water temperature</t>
  </si>
  <si>
    <t>NPP system inventories</t>
  </si>
  <si>
    <t>Quality</t>
  </si>
  <si>
    <t>Inland</t>
  </si>
  <si>
    <t>Coastal</t>
  </si>
  <si>
    <t xml:space="preserve">Condenser cooling water circuit (NDCT) </t>
  </si>
  <si>
    <t xml:space="preserve">Fresh water </t>
  </si>
  <si>
    <t xml:space="preserve">River water </t>
  </si>
  <si>
    <t xml:space="preserve">Service water circuit (IDCT)+7days storage </t>
  </si>
  <si>
    <t xml:space="preserve">Fire water circuit - pipes </t>
  </si>
  <si>
    <t xml:space="preserve">Demineralized </t>
  </si>
  <si>
    <t xml:space="preserve">Fire water circuit - storage </t>
  </si>
  <si>
    <t xml:space="preserve">Nuclear systems&amp; component cooling circuit </t>
  </si>
  <si>
    <t xml:space="preserve">TG component cooling circuit </t>
  </si>
  <si>
    <t xml:space="preserve">Feed water circuit </t>
  </si>
  <si>
    <t xml:space="preserve">Steam generator secondary side inventory </t>
  </si>
  <si>
    <t xml:space="preserve">Reactor auxilary circuits </t>
  </si>
  <si>
    <t xml:space="preserve">Spent fuel bay cooling circuit </t>
  </si>
  <si>
    <t xml:space="preserve">Emergency core cooling circuit including sump inventory </t>
  </si>
  <si>
    <t xml:space="preserve">Emergency feed water pools and circuit </t>
  </si>
  <si>
    <t xml:space="preserve">Primary heat transport system </t>
  </si>
  <si>
    <t xml:space="preserve">Moderator system </t>
  </si>
  <si>
    <t xml:space="preserve">- </t>
  </si>
  <si>
    <t>a</t>
  </si>
  <si>
    <t>b</t>
  </si>
  <si>
    <t>ax+b</t>
  </si>
  <si>
    <t>Mwe</t>
  </si>
  <si>
    <t>supporting systems</t>
  </si>
  <si>
    <t>Read, print or save as PDF a  full report which summarizes the assumptions and results of the examined case</t>
  </si>
  <si>
    <t>Hybrid - Plume abatement</t>
  </si>
  <si>
    <t>Hybrid - Water Conservation</t>
  </si>
  <si>
    <t>Dry cooling (Air Condenser)</t>
  </si>
  <si>
    <t>SELECT COOLING SYSTEM:</t>
  </si>
  <si>
    <t>Condenser</t>
  </si>
  <si>
    <t>WATER USE</t>
  </si>
  <si>
    <t>Average wind velocity</t>
  </si>
  <si>
    <t>Supporting Systems cooling</t>
  </si>
  <si>
    <t>CaseName</t>
  </si>
  <si>
    <t>Water needs during comissioning</t>
  </si>
  <si>
    <t>Water needs during construction</t>
  </si>
  <si>
    <r>
      <t>m</t>
    </r>
    <r>
      <rPr>
        <vertAlign val="superscript"/>
        <sz val="10"/>
        <color theme="1"/>
        <rFont val="Calibri"/>
        <family val="2"/>
        <charset val="161"/>
      </rPr>
      <t>3</t>
    </r>
  </si>
  <si>
    <t>(Peak: 6000 m3/d)</t>
  </si>
  <si>
    <t>(Peak: 300 m3/d)</t>
  </si>
  <si>
    <t>Temperature Profile</t>
  </si>
  <si>
    <t>Total consumption</t>
  </si>
  <si>
    <t>Water needs during operation (except from condenser cooling)</t>
  </si>
  <si>
    <t>Makeup for Secondary loop</t>
  </si>
  <si>
    <t>Makeup for primary loop</t>
  </si>
  <si>
    <t>Demineralized</t>
  </si>
  <si>
    <t>Summary of results</t>
  </si>
  <si>
    <t>Cooling system type</t>
  </si>
  <si>
    <t>Cooling system</t>
  </si>
  <si>
    <t>Supporting systems</t>
  </si>
  <si>
    <t>Make-up water</t>
  </si>
  <si>
    <t>Fresh Water</t>
  </si>
  <si>
    <t>Water system inventories during operation</t>
  </si>
  <si>
    <t>Emergency core cooling circuit (and dump inventory )</t>
  </si>
  <si>
    <t>Total Water inventory needed</t>
  </si>
  <si>
    <t>Total Water needed</t>
  </si>
  <si>
    <t>During Construction</t>
  </si>
  <si>
    <t>During commissioning</t>
  </si>
  <si>
    <t>During operation</t>
  </si>
  <si>
    <t>Demineralized water</t>
  </si>
  <si>
    <t>Other Supporting systems</t>
  </si>
  <si>
    <t>Condenser cooling (withdrawal)</t>
  </si>
  <si>
    <t>OPERATING (M$/yr)</t>
  </si>
  <si>
    <t>Water Management Program</t>
  </si>
  <si>
    <t>1. DEFINE YOUR SYSTEM</t>
  </si>
  <si>
    <t>2. RESULTS</t>
  </si>
  <si>
    <t xml:space="preserve"> Define the power plant details and the site's ambient conditions and select a cooling system</t>
  </si>
  <si>
    <t>Labels</t>
  </si>
  <si>
    <t>Lifetime</t>
  </si>
  <si>
    <t>Discount Rate</t>
  </si>
  <si>
    <t>Levelized Cost of electr</t>
  </si>
  <si>
    <t>lpc</t>
  </si>
  <si>
    <t>i</t>
  </si>
  <si>
    <t>Le</t>
  </si>
  <si>
    <t>Economic</t>
  </si>
  <si>
    <t>years</t>
  </si>
  <si>
    <t>$/MWh</t>
  </si>
  <si>
    <t>m2/MW</t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</si>
  <si>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charset val="161"/>
        <scheme val="minor"/>
      </rPr>
      <t>/month</t>
    </r>
  </si>
  <si>
    <t>Ebpnr</t>
  </si>
  <si>
    <t>Electricity generated</t>
  </si>
  <si>
    <t>Availability</t>
  </si>
  <si>
    <t>App</t>
  </si>
  <si>
    <t>Ep</t>
  </si>
  <si>
    <t>GWh</t>
  </si>
  <si>
    <t>Site conditions</t>
  </si>
  <si>
    <t>Location</t>
  </si>
  <si>
    <t>jindex</t>
  </si>
  <si>
    <t>Investment Costs</t>
  </si>
  <si>
    <t>Blowdown</t>
  </si>
  <si>
    <r>
      <t>m</t>
    </r>
    <r>
      <rPr>
        <vertAlign val="superscript"/>
        <sz val="10"/>
        <color theme="1"/>
        <rFont val="Calibri"/>
        <family val="2"/>
        <charset val="161"/>
      </rPr>
      <t>3</t>
    </r>
    <r>
      <rPr>
        <sz val="10"/>
        <color theme="1"/>
        <rFont val="Calibri"/>
        <family val="2"/>
      </rPr>
      <t>/MWh</t>
    </r>
  </si>
  <si>
    <t>Fan Energy consumption</t>
  </si>
  <si>
    <t>Air polution</t>
  </si>
  <si>
    <t>Air Polution</t>
  </si>
  <si>
    <t>Area needed:</t>
  </si>
  <si>
    <r>
      <t>km</t>
    </r>
    <r>
      <rPr>
        <vertAlign val="superscript"/>
        <sz val="8"/>
        <color theme="1"/>
        <rFont val="Calibri"/>
        <family val="2"/>
        <scheme val="minor"/>
      </rPr>
      <t>2</t>
    </r>
  </si>
  <si>
    <t>Condensate Polishing Plant</t>
  </si>
  <si>
    <t>Condenser cooling water circuit</t>
  </si>
  <si>
    <t xml:space="preserve">Service water circuit + 7 days storage </t>
  </si>
  <si>
    <t xml:space="preserve">Fresh  water </t>
  </si>
  <si>
    <t>Inlet water Temp</t>
  </si>
  <si>
    <t>Cooling System</t>
  </si>
  <si>
    <t>Closed loop - Cooling Pond</t>
  </si>
  <si>
    <t>Wet cooling - Mechanical Draft</t>
  </si>
  <si>
    <t>Wet cooling - Natural Draft</t>
  </si>
  <si>
    <t>Once Through - Cooling Pond</t>
  </si>
  <si>
    <r>
      <t>Million 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charset val="161"/>
        <scheme val="minor"/>
      </rPr>
      <t>/month</t>
    </r>
  </si>
  <si>
    <r>
      <t>m</t>
    </r>
    <r>
      <rPr>
        <vertAlign val="superscript"/>
        <sz val="8"/>
        <color theme="1"/>
        <rFont val="Calibri"/>
        <family val="2"/>
        <scheme val="minor"/>
      </rPr>
      <t>3</t>
    </r>
    <r>
      <rPr>
        <sz val="8"/>
        <color theme="1"/>
        <rFont val="Calibri"/>
        <family val="2"/>
        <scheme val="minor"/>
      </rPr>
      <t>/s</t>
    </r>
  </si>
  <si>
    <r>
      <t>m</t>
    </r>
    <r>
      <rPr>
        <vertAlign val="superscript"/>
        <sz val="8"/>
        <color theme="1"/>
        <rFont val="Calibri"/>
        <family val="2"/>
        <scheme val="minor"/>
      </rPr>
      <t>3</t>
    </r>
    <r>
      <rPr>
        <sz val="8"/>
        <color theme="1"/>
        <rFont val="Calibri"/>
        <family val="2"/>
        <scheme val="minor"/>
      </rPr>
      <t>/s</t>
    </r>
  </si>
  <si>
    <t>Water Quality</t>
  </si>
  <si>
    <t>ppm</t>
  </si>
  <si>
    <t>TDS</t>
  </si>
  <si>
    <t>TSS</t>
  </si>
  <si>
    <t>NH3</t>
  </si>
  <si>
    <t>Total Dissolved Solids</t>
  </si>
  <si>
    <t>Total Suspended Solids</t>
  </si>
  <si>
    <t>Ammonia concentration</t>
  </si>
  <si>
    <t>Water source / Plant Location</t>
  </si>
  <si>
    <t>Ammonia treatment is needed</t>
  </si>
  <si>
    <t>Contact clarifiers</t>
  </si>
  <si>
    <t>Hardness treatment is need</t>
  </si>
  <si>
    <t>Contact clarifiers + Reverse Osmosis</t>
  </si>
  <si>
    <t>Gravity filtration is needed</t>
  </si>
  <si>
    <t>Trickling Filters</t>
  </si>
  <si>
    <t>Trickling filters</t>
  </si>
  <si>
    <t>Solids filtration is needed</t>
  </si>
  <si>
    <t>Blowdown evaporation pond</t>
  </si>
  <si>
    <t>Make up storage  pond</t>
  </si>
  <si>
    <t>Reservoirs</t>
  </si>
  <si>
    <t>Grace period</t>
  </si>
  <si>
    <t>Make-up water storage</t>
  </si>
  <si>
    <t>Blow-down</t>
  </si>
  <si>
    <t>Palo Verde</t>
  </si>
  <si>
    <t>Arizona</t>
  </si>
  <si>
    <t>PRIS</t>
  </si>
  <si>
    <t>LWR</t>
  </si>
  <si>
    <t>Thermal air polution</t>
  </si>
  <si>
    <t>M$/m3s-1</t>
  </si>
  <si>
    <t>SCC</t>
  </si>
  <si>
    <t>Evaporation ponds</t>
  </si>
  <si>
    <t>$/m3</t>
  </si>
  <si>
    <t>Gravity filters</t>
  </si>
  <si>
    <r>
      <t>m</t>
    </r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>/month</t>
    </r>
  </si>
  <si>
    <t>Water treatment</t>
  </si>
  <si>
    <t>days</t>
  </si>
  <si>
    <t>sec</t>
  </si>
  <si>
    <t>tn/day</t>
  </si>
  <si>
    <t>Mm3</t>
  </si>
  <si>
    <t>Gravity filtration</t>
  </si>
  <si>
    <t>RO</t>
  </si>
  <si>
    <t>Effluent</t>
  </si>
  <si>
    <t>Reverse Osmosis</t>
  </si>
  <si>
    <t>Ctf</t>
  </si>
  <si>
    <t>Cscc</t>
  </si>
  <si>
    <t>Cgf</t>
  </si>
  <si>
    <t>Cro</t>
  </si>
  <si>
    <t>Cep</t>
  </si>
  <si>
    <r>
      <t>m</t>
    </r>
    <r>
      <rPr>
        <vertAlign val="superscript"/>
        <sz val="8"/>
        <color theme="1"/>
        <rFont val="Calibri"/>
        <family val="2"/>
        <scheme val="minor"/>
      </rPr>
      <t>3</t>
    </r>
    <r>
      <rPr>
        <sz val="8"/>
        <color theme="1"/>
        <rFont val="Calibri"/>
        <family val="2"/>
        <scheme val="minor"/>
      </rPr>
      <t>/s</t>
    </r>
  </si>
  <si>
    <t>Inlet Water quality</t>
  </si>
  <si>
    <t>Capital Expenditures</t>
  </si>
  <si>
    <t>Equipment Flags</t>
  </si>
  <si>
    <t>Water flow to treatment</t>
  </si>
  <si>
    <t>Flag Tower</t>
  </si>
  <si>
    <t>Total CAPEX</t>
  </si>
  <si>
    <t>Flag Reservoir</t>
  </si>
  <si>
    <t>Flag Treatment</t>
  </si>
  <si>
    <t>Operating Expenditures</t>
  </si>
  <si>
    <t>Chemicals</t>
  </si>
  <si>
    <t>Water treatment CAPEX</t>
  </si>
  <si>
    <t>Manpower</t>
  </si>
  <si>
    <t>Contract Service &amp; Labor</t>
  </si>
  <si>
    <t>Materials</t>
  </si>
  <si>
    <t>Electricity</t>
  </si>
  <si>
    <t>Water treatment OPPEX</t>
  </si>
  <si>
    <t>Water treatment specific costs</t>
  </si>
  <si>
    <t>EUR/m3</t>
  </si>
  <si>
    <t>Mm3/year</t>
  </si>
  <si>
    <t>Total Annual Costs of water treatment</t>
  </si>
  <si>
    <t>Total Annual Costs of water cooling</t>
  </si>
  <si>
    <t>Cooling</t>
  </si>
  <si>
    <t>Operating costs</t>
  </si>
  <si>
    <t>Annualized Capital costs</t>
  </si>
  <si>
    <t>Treatment</t>
  </si>
  <si>
    <t>Million $</t>
  </si>
  <si>
    <t>Total annual costs for water cooling and treatment (if applicable)</t>
  </si>
  <si>
    <t>Required storage for make up water</t>
  </si>
  <si>
    <t>Depth ratio</t>
  </si>
  <si>
    <t>Water treatment specific OPEX</t>
  </si>
  <si>
    <t>GF</t>
  </si>
  <si>
    <t>TF</t>
  </si>
  <si>
    <t>eff</t>
  </si>
  <si>
    <t>manp</t>
  </si>
  <si>
    <t>chem</t>
  </si>
  <si>
    <t>labor</t>
  </si>
  <si>
    <t>materials</t>
  </si>
  <si>
    <t>el</t>
  </si>
  <si>
    <t>intercept</t>
  </si>
  <si>
    <t>OPEC factors</t>
  </si>
  <si>
    <t>can treatment?</t>
  </si>
  <si>
    <t>m3/m2</t>
  </si>
  <si>
    <t>Case 1</t>
  </si>
  <si>
    <t>Cost estimates are relative to a reference once-through cooling system</t>
  </si>
  <si>
    <t>Local</t>
  </si>
  <si>
    <t>Temperature</t>
  </si>
  <si>
    <t>hv</t>
  </si>
  <si>
    <t>hl</t>
  </si>
  <si>
    <t>diff</t>
  </si>
  <si>
    <t>C. F. Beaton. 1986</t>
  </si>
  <si>
    <t>Temp</t>
  </si>
  <si>
    <t>Input</t>
  </si>
  <si>
    <t>Unit</t>
  </si>
  <si>
    <t>Electric power</t>
  </si>
  <si>
    <t>Net efficiency</t>
  </si>
  <si>
    <t>%</t>
  </si>
  <si>
    <t>Steam temperature</t>
  </si>
  <si>
    <t>Water type</t>
  </si>
  <si>
    <t>Light</t>
  </si>
  <si>
    <t>Heavy</t>
  </si>
  <si>
    <t>Water source</t>
  </si>
  <si>
    <t>River/Inland</t>
  </si>
  <si>
    <t>Sea/coast</t>
  </si>
  <si>
    <t>Wet bulb temperature</t>
  </si>
  <si>
    <t>Inlet water temperature</t>
  </si>
  <si>
    <t>River flow rate</t>
  </si>
  <si>
    <t>Wind speed</t>
  </si>
  <si>
    <t>Water quality</t>
  </si>
  <si>
    <t>Dissovled solids</t>
  </si>
  <si>
    <t>Suspended solids</t>
  </si>
  <si>
    <t>Ammonia</t>
  </si>
  <si>
    <t>Plant lifetime</t>
  </si>
  <si>
    <t>Discount rate</t>
  </si>
  <si>
    <t>Levelised cost of electricity</t>
  </si>
  <si>
    <t>Plant availability</t>
  </si>
  <si>
    <t>Once through</t>
  </si>
  <si>
    <t>Once through cooling pond</t>
  </si>
  <si>
    <t>Closed loop cooling pond</t>
  </si>
  <si>
    <t>Wet cooling - mechanical draft</t>
  </si>
  <si>
    <t>Wet cooling - natural draft</t>
  </si>
  <si>
    <t>Dry cooling (air condenser)</t>
  </si>
  <si>
    <t>Hybrid - plume abatement</t>
  </si>
  <si>
    <t>Condenser approach</t>
  </si>
  <si>
    <t>Condenser range</t>
  </si>
  <si>
    <t>Cooling tower apprach</t>
  </si>
  <si>
    <t>Humidity</t>
  </si>
  <si>
    <t>Power plant specifications</t>
  </si>
  <si>
    <t>Relative humidity</t>
  </si>
  <si>
    <t>Sureface water temperature</t>
  </si>
  <si>
    <t>Average wind speed</t>
  </si>
  <si>
    <t>m3</t>
  </si>
  <si>
    <t>During construction</t>
  </si>
  <si>
    <t>M m3 / month</t>
  </si>
  <si>
    <t>Other supporting systems</t>
  </si>
  <si>
    <t>m3 / month</t>
  </si>
  <si>
    <t>Total water inventory</t>
  </si>
  <si>
    <t>Fresh water</t>
  </si>
  <si>
    <t>Demineralised water</t>
  </si>
  <si>
    <t>Total annual costs</t>
  </si>
  <si>
    <t>Annualised capital costs</t>
  </si>
  <si>
    <t>cooling system type</t>
  </si>
  <si>
    <t>Cooling tower approach</t>
  </si>
  <si>
    <t>m3/MWh</t>
  </si>
  <si>
    <t>Makeup water storage</t>
  </si>
  <si>
    <t>7 days</t>
  </si>
  <si>
    <t>M m3</t>
  </si>
  <si>
    <t>Total annual cooling water cost</t>
  </si>
  <si>
    <t>Investment costs</t>
  </si>
  <si>
    <t>Annualised investment cost</t>
  </si>
  <si>
    <t>Total cost</t>
  </si>
  <si>
    <t>Inlet water quality</t>
  </si>
  <si>
    <t>Dissolved solids</t>
  </si>
  <si>
    <t>Captial expenditure</t>
  </si>
  <si>
    <t>Total</t>
  </si>
  <si>
    <t>Operating expeditures</t>
  </si>
  <si>
    <t>Service and Labour</t>
  </si>
  <si>
    <t>Total annual water treatment cost</t>
  </si>
  <si>
    <t>Staff needs</t>
  </si>
  <si>
    <t>Water needs during commissioning</t>
  </si>
  <si>
    <t>Drinking</t>
  </si>
  <si>
    <t>Water needs during operation</t>
  </si>
  <si>
    <t>Secondary loop makeup</t>
  </si>
  <si>
    <t>Primary loop makeup</t>
  </si>
  <si>
    <t>Waste treatment</t>
  </si>
  <si>
    <t>Condensate polishing plant</t>
  </si>
  <si>
    <t>Component cooling water makeup</t>
  </si>
  <si>
    <t>Service water circuit + 7 days storage</t>
  </si>
  <si>
    <t>Fire water circuit - pipes</t>
  </si>
  <si>
    <t>Fire water circuit - storage</t>
  </si>
  <si>
    <t>Nuclear systems &amp; component cooling</t>
  </si>
  <si>
    <t>TG component cooling circuit</t>
  </si>
  <si>
    <t>Feed water circuit</t>
  </si>
  <si>
    <t>Steam generator secondry side inventory</t>
  </si>
  <si>
    <t>Reactor auxiliary circuits</t>
  </si>
  <si>
    <t>Spent fuel bay coling circuit</t>
  </si>
  <si>
    <t>Emergency core cooling circuit</t>
  </si>
  <si>
    <t>Emergency feed water pools and circuit</t>
  </si>
  <si>
    <t>Primary heat transport system</t>
  </si>
  <si>
    <t>Moderator system</t>
  </si>
  <si>
    <t>SELECT WATER SOURCE: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</si>
</sst>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0.0000"/>
    <numFmt numFmtId="167" formatCode="0.0"/>
    <numFmt numFmtId="168" formatCode="_(* #,##0_);_(* \(#,##0\);_(* &quot;-&quot;??_);_(@_)"/>
    <numFmt numFmtId="169" formatCode="0.0%"/>
    <numFmt numFmtId="170" formatCode="0.000"/>
    <numFmt numFmtId="171" formatCode="_(* #,##0.000_);_(* \(#,##0.000\);_(* &quot;-&quot;??_);_(@_)"/>
    <numFmt numFmtId="172" formatCode="_(* #,##0.0_);_(* \(#,##0.0\);_(* &quot;-&quot;??_);_(@_)"/>
    <numFmt numFmtId="173" formatCode="0.000000000000"/>
    <numFmt numFmtId="174" formatCode="0.000000"/>
    <numFmt numFmtId="175" formatCode="0.000000000"/>
    <numFmt numFmtId="176" formatCode="0.0000000000"/>
  </numFmts>
  <fonts count="82"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theme="0" tint="-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  <charset val="161"/>
    </font>
    <font>
      <sz val="10"/>
      <name val="Geneva"/>
    </font>
    <font>
      <b/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theme="1"/>
      <name val="Consolas"/>
      <family val="3"/>
    </font>
    <font>
      <i/>
      <sz val="8"/>
      <color theme="1"/>
      <name val="Consolas"/>
      <family val="3"/>
    </font>
    <font>
      <b/>
      <sz val="8"/>
      <color theme="1"/>
      <name val="Consolas"/>
      <family val="3"/>
    </font>
    <font>
      <u/>
      <sz val="8"/>
      <color theme="1"/>
      <name val="Consolas"/>
      <family val="3"/>
    </font>
    <font>
      <sz val="8"/>
      <name val="Consolas"/>
      <family val="3"/>
    </font>
    <font>
      <sz val="8"/>
      <color rgb="FFFF0000"/>
      <name val="Consolas"/>
      <family val="3"/>
    </font>
    <font>
      <b/>
      <i/>
      <sz val="8"/>
      <color theme="1"/>
      <name val="Consolas"/>
      <family val="3"/>
    </font>
    <font>
      <b/>
      <sz val="10"/>
      <color theme="1"/>
      <name val="Calibri"/>
      <family val="2"/>
      <charset val="161"/>
      <scheme val="minor"/>
    </font>
    <font>
      <b/>
      <sz val="20"/>
      <color theme="1"/>
      <name val="Calibri"/>
      <family val="2"/>
      <charset val="161"/>
      <scheme val="minor"/>
    </font>
    <font>
      <b/>
      <sz val="8"/>
      <color theme="1"/>
      <name val="Calibri"/>
      <family val="2"/>
      <charset val="161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sz val="16"/>
      <color theme="1"/>
      <name val="Cambria"/>
      <family val="1"/>
      <scheme val="major"/>
    </font>
    <font>
      <sz val="10"/>
      <color theme="1"/>
      <name val="Cambria"/>
      <family val="1"/>
      <scheme val="major"/>
    </font>
    <font>
      <b/>
      <sz val="12"/>
      <name val="Cambria"/>
      <family val="1"/>
      <scheme val="major"/>
    </font>
    <font>
      <b/>
      <sz val="12"/>
      <name val="Times New Roman"/>
      <family val="1"/>
      <charset val="161"/>
    </font>
    <font>
      <b/>
      <sz val="10"/>
      <color theme="1"/>
      <name val="Calibri"/>
      <family val="2"/>
    </font>
    <font>
      <u/>
      <sz val="10"/>
      <color theme="1"/>
      <name val="Calibri"/>
      <family val="2"/>
    </font>
    <font>
      <vertAlign val="superscript"/>
      <sz val="10"/>
      <color theme="1"/>
      <name val="Calibri"/>
      <family val="2"/>
    </font>
    <font>
      <sz val="18"/>
      <color theme="1"/>
      <name val="Calibri"/>
      <family val="2"/>
    </font>
    <font>
      <sz val="9"/>
      <color rgb="FF000000"/>
      <name val="Times New Roman"/>
      <family val="1"/>
      <charset val="161"/>
    </font>
    <font>
      <b/>
      <sz val="10"/>
      <color theme="0"/>
      <name val="Arial"/>
      <family val="2"/>
      <charset val="161"/>
    </font>
    <font>
      <sz val="11"/>
      <color rgb="FF000000"/>
      <name val="Calibri"/>
      <family val="2"/>
      <charset val="161"/>
      <scheme val="minor"/>
    </font>
    <font>
      <b/>
      <sz val="10"/>
      <color theme="1"/>
      <name val="Calibri"/>
      <family val="2"/>
      <scheme val="minor"/>
    </font>
    <font>
      <u/>
      <sz val="12"/>
      <color theme="1"/>
      <name val="Calibri"/>
      <family val="2"/>
      <charset val="161"/>
      <scheme val="minor"/>
    </font>
    <font>
      <sz val="10"/>
      <name val="Calibri"/>
      <family val="2"/>
    </font>
    <font>
      <vertAlign val="superscript"/>
      <sz val="10"/>
      <color theme="1"/>
      <name val="Calibri"/>
      <family val="2"/>
      <charset val="161"/>
    </font>
    <font>
      <vertAlign val="superscript"/>
      <sz val="12"/>
      <color theme="1"/>
      <name val="Calibri"/>
      <family val="2"/>
      <scheme val="minor"/>
    </font>
    <font>
      <b/>
      <sz val="10"/>
      <color theme="1"/>
      <name val="Calibri"/>
      <family val="2"/>
      <charset val="161"/>
    </font>
    <font>
      <sz val="12"/>
      <color rgb="FF000000"/>
      <name val="Wingdings"/>
      <charset val="2"/>
    </font>
    <font>
      <sz val="8"/>
      <color rgb="FFFF0000"/>
      <name val="Calibri"/>
      <family val="2"/>
      <scheme val="minor"/>
    </font>
    <font>
      <sz val="10"/>
      <color theme="1"/>
      <name val="Calibri"/>
      <family val="2"/>
      <charset val="161"/>
      <scheme val="minor"/>
    </font>
    <font>
      <vertAlign val="superscript"/>
      <sz val="8"/>
      <color theme="1"/>
      <name val="Calibri"/>
      <family val="2"/>
      <scheme val="minor"/>
    </font>
    <font>
      <b/>
      <u/>
      <sz val="10"/>
      <name val="Arial"/>
      <family val="2"/>
      <charset val="161"/>
    </font>
    <font>
      <b/>
      <sz val="10"/>
      <color theme="3"/>
      <name val="Calibri"/>
      <family val="2"/>
      <charset val="161"/>
      <scheme val="minor"/>
    </font>
    <font>
      <sz val="8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8"/>
      <color theme="1"/>
      <name val="Consolas"/>
      <family val="3"/>
      <charset val="161"/>
    </font>
    <font>
      <sz val="10"/>
      <color theme="0"/>
      <name val="Arial"/>
      <family val="2"/>
    </font>
    <font>
      <b/>
      <sz val="8"/>
      <color theme="0"/>
      <name val="Calibri"/>
      <family val="2"/>
      <scheme val="minor"/>
    </font>
    <font>
      <b/>
      <sz val="8"/>
      <color theme="0"/>
      <name val="Calibri"/>
      <family val="2"/>
      <charset val="161"/>
      <scheme val="minor"/>
    </font>
    <font>
      <sz val="8"/>
      <color theme="0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Tahoma"/>
      <family val="2"/>
    </font>
    <font>
      <sz val="10"/>
      <color rgb="FF000000"/>
      <name val="Calibri"/>
      <family val="2"/>
    </font>
    <font>
      <sz val="18"/>
      <color rgb="FF993300"/>
      <name val="Calibri"/>
      <family val="2"/>
    </font>
    <font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383D1"/>
        <bgColor indexed="64"/>
      </patternFill>
    </fill>
    <fill>
      <patternFill patternType="solid">
        <fgColor rgb="FF2B2B2F"/>
        <bgColor indexed="64"/>
      </patternFill>
    </fill>
    <fill>
      <patternFill patternType="solid">
        <fgColor rgb="FF1A335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 style="thin">
        <color rgb="FF151A21"/>
      </top>
      <bottom style="thin">
        <color rgb="FF151A21"/>
      </bottom>
      <diagonal/>
    </border>
    <border>
      <left/>
      <right style="thin">
        <color indexed="64"/>
      </right>
      <top style="thin">
        <color rgb="FF151A21"/>
      </top>
      <bottom style="thin">
        <color rgb="FF151A21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151A21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35">
    <xf numFmtId="0" fontId="0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0" fontId="13" fillId="0" borderId="0"/>
    <xf numFmtId="0" fontId="15" fillId="0" borderId="0"/>
    <xf numFmtId="0" fontId="16" fillId="0" borderId="0" applyNumberFormat="0" applyFill="0" applyBorder="0" applyAlignment="0" applyProtection="0">
      <alignment vertical="top"/>
      <protection locked="0"/>
    </xf>
    <xf numFmtId="9" fontId="15" fillId="0" borderId="0" applyFont="0" applyFill="0" applyBorder="0" applyAlignment="0" applyProtection="0"/>
    <xf numFmtId="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14" fillId="6" borderId="1">
      <alignment horizontal="center" vertical="center"/>
    </xf>
    <xf numFmtId="0" fontId="16" fillId="0" borderId="0" applyNumberFormat="0" applyFill="0" applyBorder="0" applyAlignment="0" applyProtection="0">
      <alignment vertical="top"/>
      <protection locked="0"/>
    </xf>
    <xf numFmtId="0" fontId="17" fillId="5" borderId="24">
      <alignment horizontal="center" vertical="center"/>
    </xf>
    <xf numFmtId="0" fontId="24" fillId="0" borderId="0"/>
    <xf numFmtId="0" fontId="43" fillId="0" borderId="0"/>
    <xf numFmtId="9" fontId="43" fillId="0" borderId="0" applyFont="0" applyFill="0" applyBorder="0" applyAlignment="0" applyProtection="0"/>
    <xf numFmtId="165" fontId="43" fillId="0" borderId="0" applyFont="0" applyFill="0" applyBorder="0" applyAlignment="0" applyProtection="0"/>
  </cellStyleXfs>
  <cellXfs count="461">
    <xf numFmtId="0" fontId="0" fillId="0" borderId="0" xfId="0"/>
    <xf numFmtId="0" fontId="9" fillId="0" borderId="0" xfId="0" applyFont="1"/>
    <xf numFmtId="1" fontId="9" fillId="0" borderId="0" xfId="0" applyNumberFormat="1" applyFont="1"/>
    <xf numFmtId="0" fontId="10" fillId="0" borderId="0" xfId="0" applyFont="1"/>
    <xf numFmtId="0" fontId="9" fillId="0" borderId="0" xfId="0" applyFont="1" applyAlignment="1">
      <alignment horizontal="right"/>
    </xf>
    <xf numFmtId="0" fontId="9" fillId="0" borderId="0" xfId="21" applyFont="1" applyFill="1" applyBorder="1"/>
    <xf numFmtId="0" fontId="9" fillId="0" borderId="0" xfId="21" applyFont="1"/>
    <xf numFmtId="0" fontId="10" fillId="0" borderId="0" xfId="21" applyFont="1"/>
    <xf numFmtId="0" fontId="9" fillId="4" borderId="1" xfId="21" applyFont="1" applyFill="1" applyBorder="1"/>
    <xf numFmtId="0" fontId="9" fillId="4" borderId="2" xfId="21" applyFont="1" applyFill="1" applyBorder="1"/>
    <xf numFmtId="0" fontId="14" fillId="4" borderId="2" xfId="21" applyFont="1" applyFill="1" applyBorder="1"/>
    <xf numFmtId="0" fontId="14" fillId="4" borderId="3" xfId="21" applyFont="1" applyFill="1" applyBorder="1"/>
    <xf numFmtId="0" fontId="9" fillId="0" borderId="4" xfId="21" applyFont="1" applyBorder="1"/>
    <xf numFmtId="0" fontId="9" fillId="4" borderId="5" xfId="21" applyFont="1" applyFill="1" applyBorder="1"/>
    <xf numFmtId="0" fontId="9" fillId="4" borderId="0" xfId="21" applyFont="1" applyFill="1" applyBorder="1"/>
    <xf numFmtId="0" fontId="14" fillId="4" borderId="0" xfId="21" applyFont="1" applyFill="1" applyBorder="1"/>
    <xf numFmtId="0" fontId="14" fillId="4" borderId="6" xfId="21" applyFont="1" applyFill="1" applyBorder="1"/>
    <xf numFmtId="0" fontId="9" fillId="0" borderId="7" xfId="21" applyFont="1" applyBorder="1"/>
    <xf numFmtId="0" fontId="15" fillId="0" borderId="0" xfId="22" applyFont="1" applyFill="1"/>
    <xf numFmtId="0" fontId="14" fillId="5" borderId="8" xfId="21" applyFont="1" applyFill="1" applyBorder="1" applyAlignment="1">
      <alignment vertical="center"/>
    </xf>
    <xf numFmtId="0" fontId="17" fillId="5" borderId="8" xfId="23" applyFont="1" applyFill="1" applyBorder="1" applyAlignment="1" applyProtection="1">
      <alignment horizontal="center" vertical="center"/>
    </xf>
    <xf numFmtId="0" fontId="14" fillId="5" borderId="9" xfId="21" applyFont="1" applyFill="1" applyBorder="1" applyAlignment="1">
      <alignment vertical="center"/>
    </xf>
    <xf numFmtId="0" fontId="9" fillId="4" borderId="10" xfId="21" applyFont="1" applyFill="1" applyBorder="1"/>
    <xf numFmtId="0" fontId="9" fillId="4" borderId="11" xfId="21" applyFont="1" applyFill="1" applyBorder="1"/>
    <xf numFmtId="0" fontId="14" fillId="4" borderId="11" xfId="21" applyFont="1" applyFill="1" applyBorder="1"/>
    <xf numFmtId="0" fontId="14" fillId="4" borderId="12" xfId="21" applyFont="1" applyFill="1" applyBorder="1"/>
    <xf numFmtId="0" fontId="10" fillId="0" borderId="0" xfId="21" applyFont="1" applyFill="1" applyBorder="1"/>
    <xf numFmtId="0" fontId="15" fillId="0" borderId="13" xfId="21" applyFont="1" applyFill="1" applyBorder="1"/>
    <xf numFmtId="0" fontId="15" fillId="0" borderId="14" xfId="21" applyFont="1" applyFill="1" applyBorder="1"/>
    <xf numFmtId="0" fontId="15" fillId="0" borderId="15" xfId="21" applyFont="1" applyFill="1" applyBorder="1"/>
    <xf numFmtId="0" fontId="15" fillId="0" borderId="16" xfId="21" applyFont="1" applyFill="1" applyBorder="1"/>
    <xf numFmtId="0" fontId="15" fillId="0" borderId="0" xfId="21" applyFont="1" applyFill="1" applyBorder="1"/>
    <xf numFmtId="0" fontId="15" fillId="0" borderId="0" xfId="21" applyFont="1"/>
    <xf numFmtId="0" fontId="15" fillId="0" borderId="17" xfId="21" applyFont="1" applyFill="1" applyBorder="1"/>
    <xf numFmtId="0" fontId="9" fillId="4" borderId="5" xfId="21" applyFont="1" applyFill="1" applyBorder="1" applyAlignment="1"/>
    <xf numFmtId="0" fontId="9" fillId="0" borderId="0" xfId="21" applyFont="1" applyBorder="1"/>
    <xf numFmtId="0" fontId="9" fillId="4" borderId="0" xfId="21" applyFont="1" applyFill="1" applyBorder="1" applyAlignment="1"/>
    <xf numFmtId="0" fontId="9" fillId="0" borderId="0" xfId="21" applyFont="1" applyFill="1" applyBorder="1" applyAlignment="1">
      <alignment horizontal="center"/>
    </xf>
    <xf numFmtId="0" fontId="18" fillId="4" borderId="0" xfId="21" applyFont="1" applyFill="1" applyBorder="1" applyAlignment="1">
      <alignment horizontal="center" vertical="center"/>
    </xf>
    <xf numFmtId="0" fontId="15" fillId="0" borderId="16" xfId="21" applyNumberFormat="1" applyFont="1" applyFill="1" applyBorder="1" applyAlignment="1">
      <alignment horizontal="center" vertical="center" wrapText="1"/>
    </xf>
    <xf numFmtId="0" fontId="15" fillId="0" borderId="0" xfId="21" applyNumberFormat="1" applyFont="1" applyFill="1" applyBorder="1" applyAlignment="1">
      <alignment horizontal="center" vertical="center" wrapText="1"/>
    </xf>
    <xf numFmtId="0" fontId="15" fillId="0" borderId="0" xfId="22" applyFont="1" applyFill="1" applyBorder="1"/>
    <xf numFmtId="0" fontId="15" fillId="0" borderId="0" xfId="21" applyNumberFormat="1" applyFont="1" applyFill="1" applyBorder="1" applyAlignment="1">
      <alignment horizontal="center" vertical="center"/>
    </xf>
    <xf numFmtId="0" fontId="15" fillId="0" borderId="0" xfId="21" applyNumberFormat="1" applyFont="1" applyFill="1" applyBorder="1"/>
    <xf numFmtId="0" fontId="15" fillId="0" borderId="17" xfId="21" applyNumberFormat="1" applyFont="1" applyFill="1" applyBorder="1" applyAlignment="1">
      <alignment horizontal="center" vertical="center"/>
    </xf>
    <xf numFmtId="2" fontId="14" fillId="4" borderId="6" xfId="21" applyNumberFormat="1" applyFont="1" applyFill="1" applyBorder="1"/>
    <xf numFmtId="1" fontId="10" fillId="0" borderId="0" xfId="21" applyNumberFormat="1" applyFont="1" applyFill="1" applyBorder="1" applyAlignment="1">
      <alignment horizontal="center"/>
    </xf>
    <xf numFmtId="0" fontId="11" fillId="0" borderId="0" xfId="21" applyFont="1" applyFill="1" applyBorder="1" applyAlignment="1">
      <alignment horizontal="right"/>
    </xf>
    <xf numFmtId="0" fontId="15" fillId="0" borderId="0" xfId="21" applyNumberFormat="1" applyFont="1" applyFill="1" applyBorder="1" applyAlignment="1">
      <alignment vertical="center"/>
    </xf>
    <xf numFmtId="2" fontId="10" fillId="0" borderId="0" xfId="21" applyNumberFormat="1" applyFont="1" applyFill="1" applyBorder="1" applyAlignment="1">
      <alignment horizontal="center"/>
    </xf>
    <xf numFmtId="167" fontId="10" fillId="0" borderId="0" xfId="21" applyNumberFormat="1" applyFont="1" applyFill="1" applyBorder="1" applyAlignment="1">
      <alignment horizontal="center"/>
    </xf>
    <xf numFmtId="169" fontId="15" fillId="0" borderId="0" xfId="25" applyNumberFormat="1" applyFont="1" applyFill="1" applyBorder="1" applyAlignment="1">
      <alignment vertical="center"/>
    </xf>
    <xf numFmtId="1" fontId="10" fillId="0" borderId="0" xfId="21" applyNumberFormat="1" applyFont="1" applyFill="1" applyBorder="1"/>
    <xf numFmtId="9" fontId="10" fillId="0" borderId="0" xfId="25" applyFont="1" applyFill="1" applyBorder="1" applyAlignment="1">
      <alignment horizontal="center"/>
    </xf>
    <xf numFmtId="0" fontId="11" fillId="0" borderId="0" xfId="21" applyFont="1" applyFill="1" applyBorder="1"/>
    <xf numFmtId="1" fontId="11" fillId="0" borderId="0" xfId="21" applyNumberFormat="1" applyFont="1" applyFill="1" applyBorder="1" applyAlignment="1">
      <alignment horizontal="center"/>
    </xf>
    <xf numFmtId="0" fontId="21" fillId="0" borderId="0" xfId="21" applyFont="1" applyFill="1" applyBorder="1"/>
    <xf numFmtId="0" fontId="15" fillId="0" borderId="16" xfId="21" applyNumberFormat="1" applyFont="1" applyFill="1" applyBorder="1"/>
    <xf numFmtId="0" fontId="15" fillId="0" borderId="17" xfId="21" applyNumberFormat="1" applyFont="1" applyFill="1" applyBorder="1"/>
    <xf numFmtId="0" fontId="15" fillId="0" borderId="0" xfId="22" applyFont="1" applyFill="1" applyBorder="1" applyAlignment="1">
      <alignment wrapText="1"/>
    </xf>
    <xf numFmtId="0" fontId="15" fillId="0" borderId="16" xfId="21" applyNumberFormat="1" applyFont="1" applyFill="1" applyBorder="1" applyAlignment="1">
      <alignment horizontal="center" vertical="center"/>
    </xf>
    <xf numFmtId="0" fontId="10" fillId="4" borderId="0" xfId="21" applyFont="1" applyFill="1" applyBorder="1" applyAlignment="1">
      <alignment horizontal="center" vertical="center"/>
    </xf>
    <xf numFmtId="0" fontId="15" fillId="0" borderId="0" xfId="21" applyFont="1" applyFill="1" applyBorder="1" applyAlignment="1">
      <alignment vertical="center" wrapText="1"/>
    </xf>
    <xf numFmtId="1" fontId="10" fillId="0" borderId="0" xfId="21" applyNumberFormat="1" applyFont="1" applyAlignment="1">
      <alignment horizontal="center"/>
    </xf>
    <xf numFmtId="0" fontId="10" fillId="4" borderId="0" xfId="21" applyFont="1" applyFill="1" applyBorder="1" applyAlignment="1"/>
    <xf numFmtId="0" fontId="15" fillId="0" borderId="0" xfId="21" applyFont="1" applyFill="1" applyBorder="1" applyAlignment="1">
      <alignment horizontal="center" vertical="center"/>
    </xf>
    <xf numFmtId="0" fontId="15" fillId="0" borderId="17" xfId="21" applyFont="1" applyFill="1" applyBorder="1" applyAlignment="1">
      <alignment horizontal="center" vertical="center"/>
    </xf>
    <xf numFmtId="0" fontId="15" fillId="0" borderId="16" xfId="21" applyFont="1" applyFill="1" applyBorder="1" applyAlignment="1">
      <alignment horizontal="center" vertical="center"/>
    </xf>
    <xf numFmtId="0" fontId="15" fillId="0" borderId="0" xfId="22" applyFont="1" applyFill="1" applyAlignment="1">
      <alignment horizontal="right"/>
    </xf>
    <xf numFmtId="0" fontId="22" fillId="4" borderId="0" xfId="21" applyFont="1" applyFill="1" applyBorder="1" applyAlignment="1"/>
    <xf numFmtId="0" fontId="15" fillId="0" borderId="18" xfId="21" applyFont="1" applyFill="1" applyBorder="1"/>
    <xf numFmtId="0" fontId="15" fillId="0" borderId="19" xfId="21" applyFont="1" applyFill="1" applyBorder="1"/>
    <xf numFmtId="0" fontId="15" fillId="0" borderId="20" xfId="21" applyFont="1" applyFill="1" applyBorder="1"/>
    <xf numFmtId="0" fontId="9" fillId="4" borderId="21" xfId="21" applyFont="1" applyFill="1" applyBorder="1" applyAlignment="1"/>
    <xf numFmtId="0" fontId="22" fillId="4" borderId="22" xfId="21" applyFont="1" applyFill="1" applyBorder="1" applyAlignment="1"/>
    <xf numFmtId="0" fontId="22" fillId="4" borderId="22" xfId="21" applyFont="1" applyFill="1" applyBorder="1" applyAlignment="1">
      <alignment vertical="top"/>
    </xf>
    <xf numFmtId="0" fontId="22" fillId="4" borderId="22" xfId="21" applyFont="1" applyFill="1" applyBorder="1"/>
    <xf numFmtId="0" fontId="9" fillId="4" borderId="22" xfId="21" applyFont="1" applyFill="1" applyBorder="1"/>
    <xf numFmtId="0" fontId="14" fillId="4" borderId="22" xfId="21" applyFont="1" applyFill="1" applyBorder="1"/>
    <xf numFmtId="0" fontId="14" fillId="4" borderId="23" xfId="21" applyFont="1" applyFill="1" applyBorder="1"/>
    <xf numFmtId="1" fontId="10" fillId="0" borderId="0" xfId="21" applyNumberFormat="1" applyFont="1"/>
    <xf numFmtId="0" fontId="15" fillId="0" borderId="0" xfId="21" applyFont="1" applyBorder="1"/>
    <xf numFmtId="0" fontId="13" fillId="0" borderId="0" xfId="21" applyFill="1" applyBorder="1"/>
    <xf numFmtId="0" fontId="13" fillId="0" borderId="0" xfId="21"/>
    <xf numFmtId="0" fontId="13" fillId="4" borderId="1" xfId="21" applyFill="1" applyBorder="1"/>
    <xf numFmtId="0" fontId="13" fillId="4" borderId="2" xfId="21" applyFill="1" applyBorder="1"/>
    <xf numFmtId="0" fontId="13" fillId="4" borderId="3" xfId="21" applyFill="1" applyBorder="1"/>
    <xf numFmtId="0" fontId="13" fillId="4" borderId="5" xfId="21" applyFill="1" applyBorder="1"/>
    <xf numFmtId="0" fontId="13" fillId="4" borderId="0" xfId="21" applyFill="1" applyBorder="1"/>
    <xf numFmtId="0" fontId="26" fillId="0" borderId="0" xfId="21" applyFont="1" applyFill="1" applyBorder="1"/>
    <xf numFmtId="0" fontId="26" fillId="0" borderId="0" xfId="21" applyFont="1" applyBorder="1"/>
    <xf numFmtId="0" fontId="13" fillId="4" borderId="25" xfId="21" applyFill="1" applyBorder="1"/>
    <xf numFmtId="0" fontId="13" fillId="4" borderId="26" xfId="21" applyFill="1" applyBorder="1"/>
    <xf numFmtId="0" fontId="27" fillId="4" borderId="0" xfId="21" applyFont="1" applyFill="1" applyBorder="1"/>
    <xf numFmtId="0" fontId="28" fillId="4" borderId="0" xfId="21" applyFont="1" applyFill="1" applyBorder="1" applyAlignment="1">
      <alignment vertical="center" wrapText="1"/>
    </xf>
    <xf numFmtId="0" fontId="13" fillId="4" borderId="6" xfId="21" applyFill="1" applyBorder="1"/>
    <xf numFmtId="0" fontId="29" fillId="0" borderId="0" xfId="21" applyFont="1" applyAlignment="1">
      <alignment vertical="center"/>
    </xf>
    <xf numFmtId="0" fontId="30" fillId="4" borderId="0" xfId="21" applyFont="1" applyFill="1" applyBorder="1" applyAlignment="1">
      <alignment vertical="top" wrapText="1"/>
    </xf>
    <xf numFmtId="0" fontId="30" fillId="4" borderId="0" xfId="21" applyFont="1" applyFill="1" applyBorder="1" applyAlignment="1">
      <alignment vertical="top"/>
    </xf>
    <xf numFmtId="0" fontId="31" fillId="4" borderId="0" xfId="21" applyFont="1" applyFill="1" applyBorder="1"/>
    <xf numFmtId="0" fontId="13" fillId="4" borderId="0" xfId="21" applyFill="1" applyBorder="1" applyAlignment="1">
      <alignment vertical="center"/>
    </xf>
    <xf numFmtId="0" fontId="30" fillId="4" borderId="0" xfId="21" applyFont="1" applyFill="1" applyBorder="1" applyAlignment="1">
      <alignment vertical="center" wrapText="1"/>
    </xf>
    <xf numFmtId="0" fontId="31" fillId="4" borderId="0" xfId="21" applyFont="1" applyFill="1" applyBorder="1" applyAlignment="1">
      <alignment vertical="center"/>
    </xf>
    <xf numFmtId="0" fontId="31" fillId="4" borderId="0" xfId="21" applyFont="1" applyFill="1" applyBorder="1" applyAlignment="1">
      <alignment vertical="center" wrapText="1"/>
    </xf>
    <xf numFmtId="0" fontId="26" fillId="4" borderId="0" xfId="21" applyFont="1" applyFill="1" applyBorder="1" applyAlignment="1">
      <alignment vertical="center" wrapText="1"/>
    </xf>
    <xf numFmtId="0" fontId="26" fillId="4" borderId="0" xfId="21" applyFont="1" applyFill="1" applyAlignment="1">
      <alignment vertical="center"/>
    </xf>
    <xf numFmtId="0" fontId="32" fillId="4" borderId="0" xfId="21" applyFont="1" applyFill="1" applyBorder="1" applyAlignment="1">
      <alignment vertical="center"/>
    </xf>
    <xf numFmtId="0" fontId="26" fillId="4" borderId="0" xfId="21" applyFont="1" applyFill="1" applyAlignment="1">
      <alignment horizontal="left" vertical="top"/>
    </xf>
    <xf numFmtId="0" fontId="26" fillId="4" borderId="0" xfId="21" applyFont="1" applyFill="1" applyBorder="1" applyAlignment="1">
      <alignment horizontal="left" vertical="top" wrapText="1"/>
    </xf>
    <xf numFmtId="0" fontId="13" fillId="4" borderId="0" xfId="21" applyFill="1"/>
    <xf numFmtId="0" fontId="26" fillId="4" borderId="0" xfId="21" applyFont="1" applyFill="1" applyBorder="1" applyAlignment="1">
      <alignment vertical="center"/>
    </xf>
    <xf numFmtId="0" fontId="13" fillId="4" borderId="21" xfId="21" applyFill="1" applyBorder="1"/>
    <xf numFmtId="0" fontId="13" fillId="4" borderId="22" xfId="21" applyFill="1" applyBorder="1" applyAlignment="1">
      <alignment vertical="center"/>
    </xf>
    <xf numFmtId="0" fontId="26" fillId="4" borderId="22" xfId="21" applyFont="1" applyFill="1" applyBorder="1" applyAlignment="1">
      <alignment vertical="center" wrapText="1"/>
    </xf>
    <xf numFmtId="0" fontId="13" fillId="4" borderId="23" xfId="21" applyFill="1" applyBorder="1"/>
    <xf numFmtId="0" fontId="33" fillId="0" borderId="0" xfId="0" applyFont="1"/>
    <xf numFmtId="0" fontId="34" fillId="0" borderId="0" xfId="0" applyFont="1"/>
    <xf numFmtId="1" fontId="33" fillId="0" borderId="0" xfId="0" applyNumberFormat="1" applyFont="1"/>
    <xf numFmtId="0" fontId="33" fillId="3" borderId="0" xfId="0" applyFont="1" applyFill="1"/>
    <xf numFmtId="2" fontId="33" fillId="0" borderId="0" xfId="0" applyNumberFormat="1" applyFont="1"/>
    <xf numFmtId="169" fontId="33" fillId="0" borderId="0" xfId="1" applyNumberFormat="1" applyFont="1"/>
    <xf numFmtId="9" fontId="33" fillId="0" borderId="0" xfId="1" applyFont="1"/>
    <xf numFmtId="167" fontId="33" fillId="0" borderId="0" xfId="0" quotePrefix="1" applyNumberFormat="1" applyFont="1"/>
    <xf numFmtId="167" fontId="33" fillId="0" borderId="0" xfId="0" applyNumberFormat="1" applyFont="1"/>
    <xf numFmtId="170" fontId="33" fillId="0" borderId="0" xfId="0" applyNumberFormat="1" applyFont="1"/>
    <xf numFmtId="0" fontId="36" fillId="0" borderId="0" xfId="0" applyFont="1"/>
    <xf numFmtId="167" fontId="37" fillId="0" borderId="0" xfId="0" applyNumberFormat="1" applyFont="1"/>
    <xf numFmtId="167" fontId="38" fillId="0" borderId="0" xfId="0" applyNumberFormat="1" applyFont="1"/>
    <xf numFmtId="166" fontId="38" fillId="0" borderId="0" xfId="0" applyNumberFormat="1" applyFont="1"/>
    <xf numFmtId="0" fontId="35" fillId="7" borderId="0" xfId="0" applyFont="1" applyFill="1"/>
    <xf numFmtId="0" fontId="33" fillId="7" borderId="0" xfId="0" applyFont="1" applyFill="1"/>
    <xf numFmtId="0" fontId="34" fillId="7" borderId="0" xfId="0" applyFont="1" applyFill="1"/>
    <xf numFmtId="0" fontId="39" fillId="7" borderId="0" xfId="0" applyFont="1" applyFill="1"/>
    <xf numFmtId="0" fontId="33" fillId="0" borderId="22" xfId="0" applyFont="1" applyBorder="1"/>
    <xf numFmtId="0" fontId="34" fillId="0" borderId="22" xfId="0" applyFont="1" applyBorder="1"/>
    <xf numFmtId="0" fontId="9" fillId="3" borderId="22" xfId="21" applyFont="1" applyFill="1" applyBorder="1"/>
    <xf numFmtId="0" fontId="9" fillId="3" borderId="5" xfId="21" applyFont="1" applyFill="1" applyBorder="1"/>
    <xf numFmtId="0" fontId="9" fillId="3" borderId="21" xfId="21" applyFont="1" applyFill="1" applyBorder="1"/>
    <xf numFmtId="0" fontId="9" fillId="8" borderId="5" xfId="21" applyFont="1" applyFill="1" applyBorder="1"/>
    <xf numFmtId="0" fontId="9" fillId="9" borderId="5" xfId="21" applyFont="1" applyFill="1" applyBorder="1"/>
    <xf numFmtId="0" fontId="9" fillId="3" borderId="0" xfId="21" applyFont="1" applyFill="1" applyBorder="1" applyAlignment="1"/>
    <xf numFmtId="0" fontId="9" fillId="9" borderId="0" xfId="21" applyFont="1" applyFill="1" applyBorder="1"/>
    <xf numFmtId="0" fontId="40" fillId="3" borderId="0" xfId="21" applyFont="1" applyFill="1" applyBorder="1" applyAlignment="1"/>
    <xf numFmtId="0" fontId="9" fillId="3" borderId="0" xfId="21" applyFont="1" applyFill="1" applyBorder="1"/>
    <xf numFmtId="0" fontId="35" fillId="7" borderId="0" xfId="0" applyFont="1" applyFill="1" applyAlignment="1">
      <alignment horizontal="right"/>
    </xf>
    <xf numFmtId="0" fontId="33" fillId="0" borderId="5" xfId="0" applyFont="1" applyBorder="1"/>
    <xf numFmtId="0" fontId="33" fillId="0" borderId="22" xfId="0" applyFont="1" applyBorder="1" applyAlignment="1">
      <alignment horizontal="right"/>
    </xf>
    <xf numFmtId="0" fontId="33" fillId="0" borderId="21" xfId="0" applyFont="1" applyBorder="1" applyAlignment="1">
      <alignment horizontal="right"/>
    </xf>
    <xf numFmtId="0" fontId="20" fillId="2" borderId="0" xfId="21" applyFont="1" applyFill="1" applyBorder="1" applyAlignment="1">
      <alignment horizontal="left" vertical="center" indent="1"/>
    </xf>
    <xf numFmtId="0" fontId="22" fillId="2" borderId="0" xfId="21" applyFont="1" applyFill="1" applyBorder="1" applyAlignment="1">
      <alignment vertical="top"/>
    </xf>
    <xf numFmtId="1" fontId="22" fillId="2" borderId="0" xfId="21" applyNumberFormat="1" applyFont="1" applyFill="1" applyBorder="1" applyAlignment="1">
      <alignment horizontal="right" vertical="top"/>
    </xf>
    <xf numFmtId="0" fontId="19" fillId="2" borderId="0" xfId="21" applyFont="1" applyFill="1" applyBorder="1" applyAlignment="1">
      <alignment vertical="top"/>
    </xf>
    <xf numFmtId="0" fontId="25" fillId="2" borderId="1" xfId="21" applyFont="1" applyFill="1" applyBorder="1" applyAlignment="1">
      <alignment horizontal="left" vertical="center"/>
    </xf>
    <xf numFmtId="0" fontId="20" fillId="2" borderId="2" xfId="21" applyFont="1" applyFill="1" applyBorder="1" applyAlignment="1">
      <alignment horizontal="left" vertical="center" indent="1"/>
    </xf>
    <xf numFmtId="0" fontId="20" fillId="2" borderId="3" xfId="21" applyFont="1" applyFill="1" applyBorder="1" applyAlignment="1">
      <alignment horizontal="left" vertical="center" indent="1"/>
    </xf>
    <xf numFmtId="0" fontId="9" fillId="2" borderId="5" xfId="21" applyFont="1" applyFill="1" applyBorder="1" applyAlignment="1">
      <alignment horizontal="left" indent="1"/>
    </xf>
    <xf numFmtId="0" fontId="20" fillId="2" borderId="6" xfId="21" applyFont="1" applyFill="1" applyBorder="1" applyAlignment="1">
      <alignment horizontal="left" vertical="center" indent="1"/>
    </xf>
    <xf numFmtId="0" fontId="9" fillId="2" borderId="5" xfId="21" applyFont="1" applyFill="1" applyBorder="1"/>
    <xf numFmtId="0" fontId="9" fillId="2" borderId="0" xfId="0" applyFont="1" applyFill="1" applyBorder="1"/>
    <xf numFmtId="0" fontId="25" fillId="2" borderId="5" xfId="21" applyFont="1" applyFill="1" applyBorder="1" applyAlignment="1">
      <alignment horizontal="left" vertical="center"/>
    </xf>
    <xf numFmtId="0" fontId="19" fillId="2" borderId="5" xfId="21" applyFont="1" applyFill="1" applyBorder="1" applyAlignment="1">
      <alignment horizontal="left" vertical="center" indent="1"/>
    </xf>
    <xf numFmtId="0" fontId="22" fillId="2" borderId="6" xfId="21" applyFont="1" applyFill="1" applyBorder="1" applyAlignment="1">
      <alignment vertical="top"/>
    </xf>
    <xf numFmtId="0" fontId="40" fillId="3" borderId="5" xfId="21" applyFont="1" applyFill="1" applyBorder="1" applyAlignment="1"/>
    <xf numFmtId="0" fontId="9" fillId="3" borderId="6" xfId="21" applyFont="1" applyFill="1" applyBorder="1" applyAlignment="1"/>
    <xf numFmtId="0" fontId="9" fillId="3" borderId="6" xfId="21" applyFont="1" applyFill="1" applyBorder="1"/>
    <xf numFmtId="0" fontId="9" fillId="3" borderId="23" xfId="21" applyFont="1" applyFill="1" applyBorder="1"/>
    <xf numFmtId="0" fontId="9" fillId="8" borderId="0" xfId="21" applyFont="1" applyFill="1" applyBorder="1"/>
    <xf numFmtId="0" fontId="9" fillId="8" borderId="6" xfId="21" applyFont="1" applyFill="1" applyBorder="1"/>
    <xf numFmtId="0" fontId="9" fillId="9" borderId="6" xfId="21" applyFont="1" applyFill="1" applyBorder="1"/>
    <xf numFmtId="0" fontId="9" fillId="9" borderId="21" xfId="21" applyFont="1" applyFill="1" applyBorder="1"/>
    <xf numFmtId="0" fontId="9" fillId="9" borderId="22" xfId="21" applyFont="1" applyFill="1" applyBorder="1"/>
    <xf numFmtId="0" fontId="9" fillId="9" borderId="23" xfId="21" applyFont="1" applyFill="1" applyBorder="1"/>
    <xf numFmtId="1" fontId="25" fillId="2" borderId="0" xfId="21" applyNumberFormat="1" applyFont="1" applyFill="1" applyBorder="1" applyAlignment="1">
      <alignment horizontal="right" vertical="center"/>
    </xf>
    <xf numFmtId="9" fontId="25" fillId="2" borderId="0" xfId="1" applyFont="1" applyFill="1" applyBorder="1" applyAlignment="1">
      <alignment horizontal="right" vertical="center"/>
    </xf>
    <xf numFmtId="0" fontId="25" fillId="2" borderId="0" xfId="21" applyFont="1" applyFill="1" applyBorder="1" applyAlignment="1">
      <alignment vertical="center"/>
    </xf>
    <xf numFmtId="1" fontId="25" fillId="2" borderId="0" xfId="21" applyNumberFormat="1" applyFont="1" applyFill="1" applyBorder="1" applyAlignment="1">
      <alignment horizontal="left" vertical="center" indent="1"/>
    </xf>
    <xf numFmtId="0" fontId="25" fillId="2" borderId="0" xfId="21" applyFont="1" applyFill="1" applyBorder="1" applyAlignment="1">
      <alignment horizontal="left" vertical="center" indent="1"/>
    </xf>
    <xf numFmtId="0" fontId="26" fillId="4" borderId="0" xfId="21" applyFont="1" applyFill="1" applyBorder="1" applyAlignment="1">
      <alignment horizontal="left" vertical="top" wrapText="1"/>
    </xf>
    <xf numFmtId="0" fontId="44" fillId="0" borderId="0" xfId="32" applyFont="1"/>
    <xf numFmtId="0" fontId="44" fillId="0" borderId="27" xfId="32" applyFont="1" applyFill="1" applyBorder="1"/>
    <xf numFmtId="0" fontId="44" fillId="0" borderId="28" xfId="32" applyFont="1" applyFill="1" applyBorder="1"/>
    <xf numFmtId="12" fontId="44" fillId="0" borderId="29" xfId="32" applyNumberFormat="1" applyFont="1" applyFill="1" applyBorder="1"/>
    <xf numFmtId="0" fontId="44" fillId="0" borderId="30" xfId="32" applyFont="1" applyFill="1" applyBorder="1"/>
    <xf numFmtId="0" fontId="45" fillId="0" borderId="0" xfId="32" applyFont="1" applyFill="1" applyBorder="1"/>
    <xf numFmtId="0" fontId="44" fillId="0" borderId="0" xfId="32" applyFont="1" applyFill="1" applyBorder="1"/>
    <xf numFmtId="0" fontId="46" fillId="0" borderId="0" xfId="32" applyFont="1" applyFill="1" applyBorder="1"/>
    <xf numFmtId="0" fontId="44" fillId="0" borderId="0" xfId="32" applyFont="1" applyBorder="1"/>
    <xf numFmtId="0" fontId="44" fillId="0" borderId="31" xfId="32" applyFont="1" applyFill="1" applyBorder="1"/>
    <xf numFmtId="0" fontId="9" fillId="0" borderId="0" xfId="32" applyFont="1" applyFill="1" applyBorder="1"/>
    <xf numFmtId="0" fontId="47" fillId="0" borderId="0" xfId="32" applyFont="1" applyFill="1" applyBorder="1"/>
    <xf numFmtId="0" fontId="48" fillId="0" borderId="0" xfId="32" applyFont="1" applyFill="1" applyBorder="1"/>
    <xf numFmtId="0" fontId="44" fillId="0" borderId="32" xfId="32" applyFont="1" applyFill="1" applyBorder="1"/>
    <xf numFmtId="0" fontId="44" fillId="0" borderId="22" xfId="32" applyFont="1" applyFill="1" applyBorder="1"/>
    <xf numFmtId="0" fontId="44" fillId="0" borderId="33" xfId="32" applyFont="1" applyFill="1" applyBorder="1"/>
    <xf numFmtId="0" fontId="49" fillId="0" borderId="22" xfId="32" applyFont="1" applyFill="1" applyBorder="1"/>
    <xf numFmtId="0" fontId="44" fillId="0" borderId="0" xfId="32" applyFont="1" applyBorder="1" applyAlignment="1"/>
    <xf numFmtId="0" fontId="50" fillId="0" borderId="2" xfId="32" applyFont="1" applyFill="1" applyBorder="1" applyAlignment="1">
      <alignment horizontal="right"/>
    </xf>
    <xf numFmtId="9" fontId="44" fillId="0" borderId="0" xfId="33" applyFont="1" applyFill="1" applyBorder="1"/>
    <xf numFmtId="1" fontId="44" fillId="0" borderId="0" xfId="32" applyNumberFormat="1" applyFont="1" applyFill="1" applyBorder="1"/>
    <xf numFmtId="1" fontId="44" fillId="0" borderId="0" xfId="32" applyNumberFormat="1" applyFont="1" applyBorder="1"/>
    <xf numFmtId="0" fontId="44" fillId="0" borderId="0" xfId="32" applyFont="1" applyFill="1" applyBorder="1" applyAlignment="1"/>
    <xf numFmtId="9" fontId="43" fillId="0" borderId="0" xfId="33" applyFont="1" applyFill="1" applyBorder="1"/>
    <xf numFmtId="1" fontId="44" fillId="0" borderId="0" xfId="32" applyNumberFormat="1" applyFont="1"/>
    <xf numFmtId="167" fontId="44" fillId="0" borderId="0" xfId="32" applyNumberFormat="1" applyFont="1" applyFill="1" applyBorder="1"/>
    <xf numFmtId="9" fontId="44" fillId="0" borderId="0" xfId="33" applyFont="1" applyBorder="1"/>
    <xf numFmtId="0" fontId="44" fillId="0" borderId="34" xfId="32" applyFont="1" applyFill="1" applyBorder="1"/>
    <xf numFmtId="0" fontId="44" fillId="0" borderId="35" xfId="32" applyFont="1" applyFill="1" applyBorder="1"/>
    <xf numFmtId="0" fontId="44" fillId="0" borderId="36" xfId="32" applyFont="1" applyFill="1" applyBorder="1"/>
    <xf numFmtId="0" fontId="43" fillId="0" borderId="28" xfId="32" applyFont="1" applyFill="1" applyBorder="1"/>
    <xf numFmtId="0" fontId="44" fillId="0" borderId="0" xfId="32" applyFont="1" applyBorder="1" applyAlignment="1">
      <alignment horizontal="left" indent="1"/>
    </xf>
    <xf numFmtId="0" fontId="44" fillId="0" borderId="0" xfId="32" applyFont="1" applyFill="1" applyBorder="1" applyAlignment="1">
      <alignment horizontal="left" indent="1"/>
    </xf>
    <xf numFmtId="0" fontId="44" fillId="0" borderId="0" xfId="32" applyFont="1" applyFill="1" applyBorder="1" applyAlignment="1">
      <alignment vertical="center" wrapText="1"/>
    </xf>
    <xf numFmtId="0" fontId="44" fillId="0" borderId="0" xfId="32" applyFont="1" applyFill="1" applyBorder="1" applyAlignment="1">
      <alignment wrapText="1"/>
    </xf>
    <xf numFmtId="0" fontId="42" fillId="0" borderId="0" xfId="0" applyFont="1"/>
    <xf numFmtId="0" fontId="50" fillId="0" borderId="0" xfId="32" applyFont="1" applyBorder="1"/>
    <xf numFmtId="0" fontId="42" fillId="0" borderId="22" xfId="0" applyFont="1" applyBorder="1"/>
    <xf numFmtId="0" fontId="42" fillId="0" borderId="21" xfId="0" applyFont="1" applyBorder="1"/>
    <xf numFmtId="0" fontId="53" fillId="0" borderId="0" xfId="0" applyFont="1" applyAlignment="1">
      <alignment horizontal="left" vertical="center" wrapText="1" indent="1"/>
    </xf>
    <xf numFmtId="0" fontId="53" fillId="0" borderId="5" xfId="0" applyFont="1" applyBorder="1" applyAlignment="1">
      <alignment vertical="center" wrapText="1"/>
    </xf>
    <xf numFmtId="0" fontId="53" fillId="0" borderId="5" xfId="0" applyFont="1" applyBorder="1" applyAlignment="1">
      <alignment horizontal="left" vertical="center" wrapText="1" indent="1"/>
    </xf>
    <xf numFmtId="0" fontId="0" fillId="10" borderId="0" xfId="0" applyFill="1"/>
    <xf numFmtId="0" fontId="33" fillId="0" borderId="0" xfId="0" applyFont="1" applyAlignment="1">
      <alignment horizontal="right"/>
    </xf>
    <xf numFmtId="167" fontId="38" fillId="0" borderId="5" xfId="0" applyNumberFormat="1" applyFont="1" applyBorder="1"/>
    <xf numFmtId="167" fontId="33" fillId="0" borderId="5" xfId="0" applyNumberFormat="1" applyFont="1" applyBorder="1"/>
    <xf numFmtId="0" fontId="15" fillId="11" borderId="0" xfId="21" applyFont="1" applyFill="1" applyBorder="1"/>
    <xf numFmtId="0" fontId="9" fillId="11" borderId="0" xfId="21" applyFont="1" applyFill="1"/>
    <xf numFmtId="0" fontId="9" fillId="11" borderId="0" xfId="21" applyFont="1" applyFill="1" applyBorder="1"/>
    <xf numFmtId="0" fontId="15" fillId="11" borderId="0" xfId="21" applyNumberFormat="1" applyFont="1" applyFill="1" applyBorder="1" applyAlignment="1">
      <alignment horizontal="center" vertical="center"/>
    </xf>
    <xf numFmtId="0" fontId="15" fillId="11" borderId="0" xfId="21" applyNumberFormat="1" applyFont="1" applyFill="1" applyBorder="1"/>
    <xf numFmtId="167" fontId="33" fillId="0" borderId="5" xfId="0" applyNumberFormat="1" applyFont="1" applyBorder="1" applyAlignment="1">
      <alignment horizontal="right"/>
    </xf>
    <xf numFmtId="0" fontId="55" fillId="0" borderId="0" xfId="0" applyFont="1" applyAlignment="1">
      <alignment horizontal="left" vertical="center"/>
    </xf>
    <xf numFmtId="0" fontId="56" fillId="0" borderId="0" xfId="0" applyFont="1"/>
    <xf numFmtId="0" fontId="33" fillId="0" borderId="0" xfId="0" applyFont="1" applyBorder="1"/>
    <xf numFmtId="0" fontId="58" fillId="0" borderId="0" xfId="32" applyFont="1" applyBorder="1" applyAlignment="1">
      <alignment horizontal="left"/>
    </xf>
    <xf numFmtId="0" fontId="44" fillId="0" borderId="0" xfId="32" applyFont="1" applyBorder="1" applyAlignment="1">
      <alignment vertical="center"/>
    </xf>
    <xf numFmtId="0" fontId="44" fillId="0" borderId="0" xfId="32" applyFont="1" applyAlignment="1">
      <alignment vertical="center"/>
    </xf>
    <xf numFmtId="0" fontId="61" fillId="0" borderId="22" xfId="32" applyFont="1" applyFill="1" applyBorder="1"/>
    <xf numFmtId="0" fontId="44" fillId="0" borderId="22" xfId="32" applyFont="1" applyBorder="1"/>
    <xf numFmtId="0" fontId="44" fillId="0" borderId="0" xfId="32" applyFont="1" applyBorder="1" applyAlignment="1">
      <alignment horizontal="left" indent="2"/>
    </xf>
    <xf numFmtId="168" fontId="44" fillId="0" borderId="0" xfId="20" applyNumberFormat="1" applyFont="1" applyBorder="1"/>
    <xf numFmtId="168" fontId="44" fillId="0" borderId="0" xfId="20" applyNumberFormat="1" applyFont="1" applyFill="1" applyBorder="1"/>
    <xf numFmtId="0" fontId="61" fillId="0" borderId="22" xfId="32" applyFont="1" applyBorder="1"/>
    <xf numFmtId="0" fontId="46" fillId="0" borderId="0" xfId="32" applyFont="1" applyBorder="1" applyAlignment="1">
      <alignment horizontal="left"/>
    </xf>
    <xf numFmtId="0" fontId="18" fillId="0" borderId="0" xfId="21" applyFont="1" applyFill="1" applyBorder="1"/>
    <xf numFmtId="0" fontId="15" fillId="2" borderId="0" xfId="22" applyFont="1" applyFill="1"/>
    <xf numFmtId="0" fontId="10" fillId="0" borderId="0" xfId="0" applyFont="1" applyAlignment="1">
      <alignment horizontal="right"/>
    </xf>
    <xf numFmtId="0" fontId="63" fillId="0" borderId="0" xfId="21" applyFont="1" applyFill="1" applyBorder="1"/>
    <xf numFmtId="0" fontId="63" fillId="0" borderId="0" xfId="21" applyFont="1"/>
    <xf numFmtId="9" fontId="33" fillId="0" borderId="0" xfId="0" applyNumberFormat="1" applyFont="1"/>
    <xf numFmtId="167" fontId="44" fillId="0" borderId="0" xfId="32" applyNumberFormat="1" applyFont="1" applyBorder="1"/>
    <xf numFmtId="0" fontId="9" fillId="9" borderId="0" xfId="21" applyFont="1" applyFill="1" applyBorder="1" applyAlignment="1">
      <alignment horizontal="right"/>
    </xf>
    <xf numFmtId="0" fontId="44" fillId="0" borderId="31" xfId="32" applyFont="1" applyBorder="1"/>
    <xf numFmtId="1" fontId="38" fillId="0" borderId="0" xfId="0" applyNumberFormat="1" applyFont="1"/>
    <xf numFmtId="2" fontId="44" fillId="0" borderId="0" xfId="32" applyNumberFormat="1" applyFont="1"/>
    <xf numFmtId="167" fontId="44" fillId="0" borderId="22" xfId="32" applyNumberFormat="1" applyFont="1" applyBorder="1"/>
    <xf numFmtId="167" fontId="44" fillId="0" borderId="0" xfId="32" applyNumberFormat="1" applyFont="1" applyBorder="1" applyAlignment="1">
      <alignment horizontal="right"/>
    </xf>
    <xf numFmtId="0" fontId="61" fillId="0" borderId="0" xfId="32" applyFont="1" applyFill="1" applyBorder="1"/>
    <xf numFmtId="0" fontId="61" fillId="0" borderId="0" xfId="32" applyFont="1" applyBorder="1"/>
    <xf numFmtId="0" fontId="33" fillId="0" borderId="1" xfId="0" applyFont="1" applyBorder="1" applyAlignment="1">
      <alignment horizontal="right"/>
    </xf>
    <xf numFmtId="0" fontId="5" fillId="0" borderId="0" xfId="0" applyFont="1"/>
    <xf numFmtId="1" fontId="10" fillId="0" borderId="0" xfId="0" applyNumberFormat="1" applyFont="1" applyAlignment="1"/>
    <xf numFmtId="0" fontId="4" fillId="0" borderId="0" xfId="0" applyFont="1"/>
    <xf numFmtId="0" fontId="5" fillId="0" borderId="0" xfId="0" applyFont="1" applyAlignment="1">
      <alignment horizontal="right"/>
    </xf>
    <xf numFmtId="0" fontId="13" fillId="0" borderId="0" xfId="0" applyFont="1"/>
    <xf numFmtId="0" fontId="66" fillId="0" borderId="0" xfId="21" applyFont="1" applyFill="1" applyBorder="1"/>
    <xf numFmtId="0" fontId="9" fillId="0" borderId="0" xfId="0" applyFont="1" applyAlignment="1"/>
    <xf numFmtId="0" fontId="67" fillId="0" borderId="0" xfId="0" applyFont="1"/>
    <xf numFmtId="0" fontId="15" fillId="0" borderId="22" xfId="21" applyFont="1" applyFill="1" applyBorder="1"/>
    <xf numFmtId="0" fontId="15" fillId="0" borderId="22" xfId="21" applyNumberFormat="1" applyFont="1" applyFill="1" applyBorder="1" applyAlignment="1">
      <alignment horizontal="center" vertical="center"/>
    </xf>
    <xf numFmtId="0" fontId="15" fillId="0" borderId="22" xfId="21" applyNumberFormat="1" applyFont="1" applyFill="1" applyBorder="1"/>
    <xf numFmtId="0" fontId="15" fillId="0" borderId="23" xfId="21" applyNumberFormat="1" applyFont="1" applyFill="1" applyBorder="1"/>
    <xf numFmtId="0" fontId="68" fillId="0" borderId="0" xfId="21" applyNumberFormat="1" applyFont="1" applyFill="1" applyBorder="1" applyAlignment="1">
      <alignment horizontal="center" vertical="center"/>
    </xf>
    <xf numFmtId="0" fontId="3" fillId="0" borderId="0" xfId="21" applyFont="1"/>
    <xf numFmtId="0" fontId="68" fillId="0" borderId="0" xfId="21" applyNumberFormat="1" applyFont="1" applyFill="1" applyBorder="1" applyAlignment="1">
      <alignment horizontal="left" vertical="center"/>
    </xf>
    <xf numFmtId="0" fontId="68" fillId="0" borderId="0" xfId="21" applyNumberFormat="1" applyFont="1" applyFill="1" applyBorder="1" applyAlignment="1">
      <alignment vertical="center"/>
    </xf>
    <xf numFmtId="0" fontId="68" fillId="0" borderId="0" xfId="21" applyNumberFormat="1" applyFont="1" applyFill="1" applyBorder="1"/>
    <xf numFmtId="0" fontId="68" fillId="0" borderId="0" xfId="26" applyNumberFormat="1" applyFont="1" applyFill="1" applyBorder="1" applyAlignment="1">
      <alignment vertical="center"/>
    </xf>
    <xf numFmtId="0" fontId="3" fillId="0" borderId="0" xfId="0" applyFont="1"/>
    <xf numFmtId="0" fontId="68" fillId="0" borderId="0" xfId="21" applyFont="1" applyFill="1" applyBorder="1"/>
    <xf numFmtId="0" fontId="68" fillId="0" borderId="0" xfId="21" applyFont="1" applyFill="1" applyBorder="1" applyAlignment="1">
      <alignment vertical="center" wrapText="1"/>
    </xf>
    <xf numFmtId="0" fontId="68" fillId="0" borderId="0" xfId="21" applyFont="1" applyFill="1" applyBorder="1" applyAlignment="1">
      <alignment horizontal="center" vertical="center"/>
    </xf>
    <xf numFmtId="167" fontId="10" fillId="0" borderId="0" xfId="0" applyNumberFormat="1" applyFont="1"/>
    <xf numFmtId="167" fontId="5" fillId="0" borderId="0" xfId="0" applyNumberFormat="1" applyFont="1"/>
    <xf numFmtId="0" fontId="68" fillId="0" borderId="0" xfId="21" applyFont="1" applyBorder="1"/>
    <xf numFmtId="0" fontId="68" fillId="0" borderId="0" xfId="21" applyFont="1"/>
    <xf numFmtId="2" fontId="68" fillId="0" borderId="0" xfId="21" applyNumberFormat="1" applyFont="1" applyFill="1" applyBorder="1" applyAlignment="1">
      <alignment vertical="center"/>
    </xf>
    <xf numFmtId="0" fontId="68" fillId="0" borderId="0" xfId="21" applyFont="1" applyFill="1" applyBorder="1" applyAlignment="1">
      <alignment horizontal="right" vertical="center"/>
    </xf>
    <xf numFmtId="0" fontId="44" fillId="0" borderId="0" xfId="32" applyFont="1" applyFill="1"/>
    <xf numFmtId="0" fontId="44" fillId="0" borderId="0" xfId="32" applyFont="1" applyAlignment="1"/>
    <xf numFmtId="0" fontId="19" fillId="0" borderId="0" xfId="21" applyNumberFormat="1" applyFont="1" applyFill="1" applyBorder="1" applyAlignment="1">
      <alignment vertical="center"/>
    </xf>
    <xf numFmtId="0" fontId="19" fillId="0" borderId="0" xfId="21" applyNumberFormat="1" applyFont="1" applyFill="1" applyBorder="1"/>
    <xf numFmtId="0" fontId="19" fillId="0" borderId="0" xfId="21" applyFont="1" applyBorder="1"/>
    <xf numFmtId="2" fontId="9" fillId="0" borderId="0" xfId="0" applyNumberFormat="1" applyFont="1" applyAlignment="1"/>
    <xf numFmtId="0" fontId="70" fillId="7" borderId="0" xfId="0" applyFont="1" applyFill="1"/>
    <xf numFmtId="0" fontId="9" fillId="0" borderId="22" xfId="0" applyFont="1" applyBorder="1"/>
    <xf numFmtId="0" fontId="2" fillId="0" borderId="0" xfId="0" applyFont="1"/>
    <xf numFmtId="167" fontId="44" fillId="0" borderId="0" xfId="20" applyNumberFormat="1" applyFont="1" applyFill="1"/>
    <xf numFmtId="1" fontId="44" fillId="0" borderId="0" xfId="32" applyNumberFormat="1" applyFont="1" applyFill="1"/>
    <xf numFmtId="0" fontId="44" fillId="0" borderId="0" xfId="32" applyFont="1" applyFill="1" applyBorder="1" applyAlignment="1">
      <alignment vertical="center"/>
    </xf>
    <xf numFmtId="1" fontId="44" fillId="0" borderId="0" xfId="32" applyNumberFormat="1" applyFont="1" applyFill="1" applyAlignment="1"/>
    <xf numFmtId="0" fontId="44" fillId="0" borderId="0" xfId="32" applyFont="1" applyFill="1" applyAlignment="1"/>
    <xf numFmtId="167" fontId="44" fillId="0" borderId="22" xfId="32" applyNumberFormat="1" applyFont="1" applyFill="1" applyBorder="1"/>
    <xf numFmtId="0" fontId="9" fillId="0" borderId="6" xfId="21" applyFont="1" applyBorder="1"/>
    <xf numFmtId="167" fontId="44" fillId="0" borderId="0" xfId="32" applyNumberFormat="1" applyFont="1" applyFill="1" applyAlignment="1"/>
    <xf numFmtId="167" fontId="44" fillId="0" borderId="22" xfId="32" applyNumberFormat="1" applyFont="1" applyFill="1" applyBorder="1" applyAlignment="1"/>
    <xf numFmtId="0" fontId="49" fillId="0" borderId="0" xfId="32" applyFont="1" applyFill="1" applyBorder="1"/>
    <xf numFmtId="167" fontId="49" fillId="0" borderId="0" xfId="32" applyNumberFormat="1" applyFont="1" applyFill="1" applyBorder="1"/>
    <xf numFmtId="0" fontId="44" fillId="0" borderId="22" xfId="32" applyFont="1" applyFill="1" applyBorder="1" applyAlignment="1">
      <alignment vertical="center"/>
    </xf>
    <xf numFmtId="0" fontId="44" fillId="0" borderId="22" xfId="32" applyFont="1" applyFill="1" applyBorder="1" applyAlignment="1"/>
    <xf numFmtId="172" fontId="44" fillId="0" borderId="0" xfId="20" applyNumberFormat="1" applyFont="1" applyFill="1" applyBorder="1" applyAlignment="1">
      <alignment vertical="center"/>
    </xf>
    <xf numFmtId="172" fontId="44" fillId="0" borderId="22" xfId="20" applyNumberFormat="1" applyFont="1" applyFill="1" applyBorder="1" applyAlignment="1">
      <alignment vertical="center"/>
    </xf>
    <xf numFmtId="0" fontId="49" fillId="0" borderId="37" xfId="32" applyFont="1" applyFill="1" applyBorder="1" applyAlignment="1">
      <alignment horizontal="right"/>
    </xf>
    <xf numFmtId="167" fontId="49" fillId="0" borderId="0" xfId="32" applyNumberFormat="1" applyFont="1" applyFill="1"/>
    <xf numFmtId="167" fontId="44" fillId="0" borderId="22" xfId="20" applyNumberFormat="1" applyFont="1" applyFill="1" applyBorder="1"/>
    <xf numFmtId="172" fontId="49" fillId="0" borderId="0" xfId="32" applyNumberFormat="1" applyFont="1" applyFill="1" applyBorder="1" applyAlignment="1">
      <alignment vertical="center"/>
    </xf>
    <xf numFmtId="172" fontId="44" fillId="0" borderId="22" xfId="32" applyNumberFormat="1" applyFont="1" applyBorder="1"/>
    <xf numFmtId="172" fontId="44" fillId="0" borderId="0" xfId="32" applyNumberFormat="1" applyFont="1" applyBorder="1"/>
    <xf numFmtId="167" fontId="44" fillId="0" borderId="2" xfId="32" applyNumberFormat="1" applyFont="1" applyFill="1" applyBorder="1"/>
    <xf numFmtId="172" fontId="49" fillId="0" borderId="0" xfId="32" applyNumberFormat="1" applyFont="1" applyFill="1" applyBorder="1"/>
    <xf numFmtId="0" fontId="33" fillId="12" borderId="1" xfId="0" applyFont="1" applyFill="1" applyBorder="1" applyAlignment="1">
      <alignment horizontal="right"/>
    </xf>
    <xf numFmtId="0" fontId="50" fillId="0" borderId="37" xfId="32" applyFont="1" applyFill="1" applyBorder="1" applyAlignment="1">
      <alignment horizontal="right"/>
    </xf>
    <xf numFmtId="0" fontId="49" fillId="0" borderId="37" xfId="32" applyFont="1" applyBorder="1"/>
    <xf numFmtId="171" fontId="15" fillId="0" borderId="0" xfId="0" applyNumberFormat="1" applyFont="1"/>
    <xf numFmtId="170" fontId="33" fillId="0" borderId="0" xfId="0" applyNumberFormat="1" applyFont="1" applyAlignment="1">
      <alignment horizontal="right"/>
    </xf>
    <xf numFmtId="0" fontId="33" fillId="0" borderId="5" xfId="0" applyFont="1" applyBorder="1" applyAlignment="1">
      <alignment horizontal="right"/>
    </xf>
    <xf numFmtId="170" fontId="33" fillId="0" borderId="5" xfId="0" applyNumberFormat="1" applyFont="1" applyBorder="1" applyAlignment="1">
      <alignment horizontal="right"/>
    </xf>
    <xf numFmtId="170" fontId="33" fillId="0" borderId="5" xfId="0" applyNumberFormat="1" applyFont="1" applyBorder="1"/>
    <xf numFmtId="172" fontId="15" fillId="0" borderId="0" xfId="20" applyNumberFormat="1" applyFont="1"/>
    <xf numFmtId="0" fontId="33" fillId="0" borderId="1" xfId="0" applyFont="1" applyBorder="1"/>
    <xf numFmtId="0" fontId="33" fillId="0" borderId="2" xfId="0" applyFont="1" applyBorder="1"/>
    <xf numFmtId="0" fontId="33" fillId="0" borderId="2" xfId="0" applyFont="1" applyBorder="1" applyAlignment="1">
      <alignment horizontal="right"/>
    </xf>
    <xf numFmtId="0" fontId="33" fillId="0" borderId="3" xfId="0" applyFont="1" applyBorder="1"/>
    <xf numFmtId="0" fontId="33" fillId="12" borderId="5" xfId="0" applyFont="1" applyFill="1" applyBorder="1"/>
    <xf numFmtId="170" fontId="33" fillId="0" borderId="0" xfId="0" applyNumberFormat="1" applyFont="1" applyBorder="1"/>
    <xf numFmtId="0" fontId="33" fillId="0" borderId="6" xfId="0" applyFont="1" applyBorder="1"/>
    <xf numFmtId="170" fontId="33" fillId="0" borderId="0" xfId="0" applyNumberFormat="1" applyFont="1" applyBorder="1" applyAlignment="1">
      <alignment horizontal="right"/>
    </xf>
    <xf numFmtId="170" fontId="33" fillId="0" borderId="21" xfId="0" applyNumberFormat="1" applyFont="1" applyBorder="1" applyAlignment="1">
      <alignment horizontal="right"/>
    </xf>
    <xf numFmtId="170" fontId="33" fillId="0" borderId="22" xfId="0" applyNumberFormat="1" applyFont="1" applyBorder="1" applyAlignment="1">
      <alignment horizontal="right"/>
    </xf>
    <xf numFmtId="0" fontId="33" fillId="0" borderId="23" xfId="0" applyFont="1" applyBorder="1"/>
    <xf numFmtId="0" fontId="9" fillId="0" borderId="0" xfId="0" applyFont="1" applyBorder="1"/>
    <xf numFmtId="0" fontId="71" fillId="0" borderId="0" xfId="22" applyFont="1" applyFill="1"/>
    <xf numFmtId="1" fontId="18" fillId="0" borderId="0" xfId="21" applyNumberFormat="1" applyFont="1" applyFill="1" applyBorder="1" applyAlignment="1">
      <alignment horizontal="center"/>
    </xf>
    <xf numFmtId="0" fontId="72" fillId="0" borderId="0" xfId="21" applyFont="1" applyBorder="1"/>
    <xf numFmtId="0" fontId="73" fillId="0" borderId="0" xfId="21" applyFont="1" applyFill="1" applyBorder="1"/>
    <xf numFmtId="1" fontId="72" fillId="0" borderId="0" xfId="21" applyNumberFormat="1" applyFont="1" applyFill="1" applyBorder="1" applyAlignment="1">
      <alignment horizontal="center"/>
    </xf>
    <xf numFmtId="0" fontId="72" fillId="0" borderId="0" xfId="21" applyFont="1" applyFill="1" applyBorder="1"/>
    <xf numFmtId="1" fontId="18" fillId="0" borderId="0" xfId="21" applyNumberFormat="1" applyFont="1" applyFill="1" applyBorder="1" applyAlignment="1">
      <alignment horizontal="right"/>
    </xf>
    <xf numFmtId="0" fontId="18" fillId="0" borderId="0" xfId="21" applyFont="1" applyBorder="1"/>
    <xf numFmtId="1" fontId="18" fillId="0" borderId="0" xfId="21" applyNumberFormat="1" applyFont="1" applyBorder="1" applyAlignment="1">
      <alignment horizontal="center"/>
    </xf>
    <xf numFmtId="0" fontId="18" fillId="0" borderId="0" xfId="21" applyFont="1"/>
    <xf numFmtId="1" fontId="18" fillId="0" borderId="0" xfId="21" applyNumberFormat="1" applyFont="1" applyAlignment="1">
      <alignment horizontal="center"/>
    </xf>
    <xf numFmtId="0" fontId="0" fillId="0" borderId="0" xfId="0" applyAlignment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31" xfId="0" applyBorder="1"/>
    <xf numFmtId="0" fontId="33" fillId="0" borderId="0" xfId="0" applyNumberFormat="1" applyFont="1"/>
    <xf numFmtId="173" fontId="33" fillId="0" borderId="0" xfId="0" applyNumberFormat="1" applyFont="1"/>
    <xf numFmtId="166" fontId="33" fillId="0" borderId="0" xfId="0" applyNumberFormat="1" applyFont="1"/>
    <xf numFmtId="174" fontId="33" fillId="0" borderId="0" xfId="0" applyNumberFormat="1" applyFont="1"/>
    <xf numFmtId="175" fontId="33" fillId="0" borderId="0" xfId="0" applyNumberFormat="1" applyFont="1"/>
    <xf numFmtId="176" fontId="33" fillId="0" borderId="0" xfId="0" applyNumberFormat="1" applyFont="1"/>
    <xf numFmtId="11" fontId="33" fillId="0" borderId="0" xfId="0" applyNumberFormat="1" applyFont="1"/>
    <xf numFmtId="0" fontId="33" fillId="0" borderId="0" xfId="0" quotePrefix="1" applyFont="1"/>
    <xf numFmtId="0" fontId="33" fillId="0" borderId="47" xfId="0" applyFont="1" applyBorder="1" applyAlignment="1">
      <alignment horizontal="right"/>
    </xf>
    <xf numFmtId="2" fontId="33" fillId="0" borderId="46" xfId="0" applyNumberFormat="1" applyFont="1" applyBorder="1"/>
    <xf numFmtId="0" fontId="33" fillId="0" borderId="46" xfId="0" applyFont="1" applyBorder="1"/>
    <xf numFmtId="0" fontId="33" fillId="12" borderId="5" xfId="0" applyFont="1" applyFill="1" applyBorder="1" applyAlignment="1">
      <alignment horizontal="right"/>
    </xf>
    <xf numFmtId="2" fontId="38" fillId="0" borderId="5" xfId="0" applyNumberFormat="1" applyFont="1" applyBorder="1"/>
    <xf numFmtId="2" fontId="33" fillId="0" borderId="5" xfId="0" applyNumberFormat="1" applyFont="1" applyBorder="1"/>
    <xf numFmtId="0" fontId="33" fillId="0" borderId="21" xfId="0" applyFont="1" applyBorder="1"/>
    <xf numFmtId="9" fontId="33" fillId="0" borderId="0" xfId="1" applyNumberFormat="1" applyFont="1"/>
    <xf numFmtId="0" fontId="33" fillId="13" borderId="0" xfId="0" applyFont="1" applyFill="1"/>
    <xf numFmtId="2" fontId="44" fillId="13" borderId="0" xfId="32" applyNumberFormat="1" applyFont="1" applyFill="1" applyBorder="1"/>
    <xf numFmtId="1" fontId="44" fillId="13" borderId="0" xfId="32" applyNumberFormat="1" applyFont="1" applyFill="1" applyBorder="1"/>
    <xf numFmtId="9" fontId="44" fillId="13" borderId="0" xfId="32" applyNumberFormat="1" applyFont="1" applyFill="1" applyBorder="1"/>
    <xf numFmtId="0" fontId="44" fillId="13" borderId="0" xfId="32" applyFont="1" applyFill="1" applyBorder="1" applyAlignment="1">
      <alignment horizontal="right"/>
    </xf>
    <xf numFmtId="0" fontId="44" fillId="13" borderId="0" xfId="32" applyFont="1" applyFill="1" applyAlignment="1">
      <alignment horizontal="right"/>
    </xf>
    <xf numFmtId="0" fontId="44" fillId="13" borderId="0" xfId="32" applyFont="1" applyFill="1" applyBorder="1"/>
    <xf numFmtId="167" fontId="44" fillId="13" borderId="0" xfId="32" applyNumberFormat="1" applyFont="1" applyFill="1" applyBorder="1"/>
    <xf numFmtId="9" fontId="44" fillId="13" borderId="0" xfId="1" applyFont="1" applyFill="1" applyBorder="1"/>
    <xf numFmtId="11" fontId="44" fillId="0" borderId="0" xfId="32" applyNumberFormat="1" applyFont="1"/>
    <xf numFmtId="168" fontId="44" fillId="13" borderId="0" xfId="20" applyNumberFormat="1" applyFont="1" applyFill="1" applyBorder="1"/>
    <xf numFmtId="168" fontId="44" fillId="13" borderId="0" xfId="20" applyNumberFormat="1" applyFont="1" applyFill="1"/>
    <xf numFmtId="1" fontId="44" fillId="13" borderId="0" xfId="32" applyNumberFormat="1" applyFont="1" applyFill="1" applyAlignment="1">
      <alignment vertical="center"/>
    </xf>
    <xf numFmtId="0" fontId="44" fillId="13" borderId="0" xfId="32" applyFont="1" applyFill="1" applyAlignment="1"/>
    <xf numFmtId="0" fontId="26" fillId="4" borderId="0" xfId="21" applyFont="1" applyFill="1" applyBorder="1" applyAlignment="1">
      <alignment horizontal="left" vertical="center" wrapText="1"/>
    </xf>
    <xf numFmtId="0" fontId="32" fillId="4" borderId="0" xfId="21" applyFont="1" applyFill="1" applyBorder="1" applyAlignment="1">
      <alignment horizontal="left" vertical="center"/>
    </xf>
    <xf numFmtId="0" fontId="26" fillId="4" borderId="0" xfId="21" applyFont="1" applyFill="1" applyBorder="1" applyAlignment="1">
      <alignment horizontal="left" vertical="top" wrapText="1"/>
    </xf>
    <xf numFmtId="0" fontId="9" fillId="9" borderId="0" xfId="21" applyFont="1" applyFill="1" applyBorder="1" applyAlignment="1"/>
    <xf numFmtId="0" fontId="14" fillId="6" borderId="1" xfId="21" applyFont="1" applyFill="1" applyBorder="1" applyAlignment="1">
      <alignment horizontal="center" vertical="center"/>
    </xf>
    <xf numFmtId="0" fontId="14" fillId="6" borderId="2" xfId="21" applyFont="1" applyFill="1" applyBorder="1" applyAlignment="1">
      <alignment horizontal="center" vertical="center"/>
    </xf>
    <xf numFmtId="0" fontId="14" fillId="6" borderId="3" xfId="21" applyFont="1" applyFill="1" applyBorder="1" applyAlignment="1">
      <alignment horizontal="center" vertical="center"/>
    </xf>
    <xf numFmtId="0" fontId="14" fillId="6" borderId="5" xfId="21" applyFont="1" applyFill="1" applyBorder="1" applyAlignment="1">
      <alignment horizontal="center" vertical="center"/>
    </xf>
    <xf numFmtId="0" fontId="14" fillId="6" borderId="0" xfId="21" applyFont="1" applyFill="1" applyBorder="1" applyAlignment="1">
      <alignment horizontal="center" vertical="center"/>
    </xf>
    <xf numFmtId="0" fontId="14" fillId="6" borderId="6" xfId="21" applyFont="1" applyFill="1" applyBorder="1" applyAlignment="1">
      <alignment horizontal="center" vertical="center"/>
    </xf>
    <xf numFmtId="0" fontId="17" fillId="5" borderId="8" xfId="23" applyFont="1" applyFill="1" applyBorder="1" applyAlignment="1" applyProtection="1">
      <alignment horizontal="center" vertical="center"/>
    </xf>
    <xf numFmtId="0" fontId="57" fillId="3" borderId="1" xfId="21" applyFont="1" applyFill="1" applyBorder="1" applyAlignment="1">
      <alignment horizontal="left" vertical="center" indent="8"/>
    </xf>
    <xf numFmtId="0" fontId="57" fillId="3" borderId="2" xfId="21" applyFont="1" applyFill="1" applyBorder="1" applyAlignment="1">
      <alignment horizontal="left" vertical="center" indent="8"/>
    </xf>
    <xf numFmtId="0" fontId="57" fillId="3" borderId="3" xfId="21" applyFont="1" applyFill="1" applyBorder="1" applyAlignment="1">
      <alignment horizontal="left" vertical="center" indent="8"/>
    </xf>
    <xf numFmtId="0" fontId="57" fillId="3" borderId="5" xfId="21" applyFont="1" applyFill="1" applyBorder="1" applyAlignment="1">
      <alignment horizontal="left" vertical="center" indent="8"/>
    </xf>
    <xf numFmtId="0" fontId="57" fillId="3" borderId="0" xfId="21" applyFont="1" applyFill="1" applyBorder="1" applyAlignment="1">
      <alignment horizontal="left" vertical="center" indent="8"/>
    </xf>
    <xf numFmtId="0" fontId="57" fillId="3" borderId="6" xfId="21" applyFont="1" applyFill="1" applyBorder="1" applyAlignment="1">
      <alignment horizontal="left" vertical="center" indent="8"/>
    </xf>
    <xf numFmtId="0" fontId="57" fillId="8" borderId="1" xfId="21" applyFont="1" applyFill="1" applyBorder="1" applyAlignment="1">
      <alignment horizontal="center" vertical="center"/>
    </xf>
    <xf numFmtId="0" fontId="57" fillId="8" borderId="2" xfId="21" applyFont="1" applyFill="1" applyBorder="1" applyAlignment="1">
      <alignment horizontal="center" vertical="center"/>
    </xf>
    <xf numFmtId="0" fontId="57" fillId="8" borderId="3" xfId="21" applyFont="1" applyFill="1" applyBorder="1" applyAlignment="1">
      <alignment horizontal="center" vertical="center"/>
    </xf>
    <xf numFmtId="0" fontId="57" fillId="8" borderId="5" xfId="21" applyFont="1" applyFill="1" applyBorder="1" applyAlignment="1">
      <alignment horizontal="center" vertical="center"/>
    </xf>
    <xf numFmtId="0" fontId="57" fillId="8" borderId="0" xfId="21" applyFont="1" applyFill="1" applyBorder="1" applyAlignment="1">
      <alignment horizontal="center" vertical="center"/>
    </xf>
    <xf numFmtId="0" fontId="57" fillId="8" borderId="6" xfId="21" applyFont="1" applyFill="1" applyBorder="1" applyAlignment="1">
      <alignment horizontal="center" vertical="center"/>
    </xf>
    <xf numFmtId="0" fontId="57" fillId="9" borderId="1" xfId="21" applyFont="1" applyFill="1" applyBorder="1" applyAlignment="1">
      <alignment horizontal="center" vertical="center"/>
    </xf>
    <xf numFmtId="0" fontId="57" fillId="9" borderId="2" xfId="21" applyFont="1" applyFill="1" applyBorder="1" applyAlignment="1">
      <alignment horizontal="center" vertical="center"/>
    </xf>
    <xf numFmtId="0" fontId="57" fillId="9" borderId="3" xfId="21" applyFont="1" applyFill="1" applyBorder="1" applyAlignment="1">
      <alignment horizontal="center" vertical="center"/>
    </xf>
    <xf numFmtId="0" fontId="57" fillId="9" borderId="5" xfId="21" applyFont="1" applyFill="1" applyBorder="1" applyAlignment="1">
      <alignment horizontal="center" vertical="center"/>
    </xf>
    <xf numFmtId="0" fontId="57" fillId="9" borderId="0" xfId="21" applyFont="1" applyFill="1" applyBorder="1" applyAlignment="1">
      <alignment horizontal="center" vertical="center"/>
    </xf>
    <xf numFmtId="0" fontId="57" fillId="9" borderId="6" xfId="21" applyFont="1" applyFill="1" applyBorder="1" applyAlignment="1">
      <alignment horizontal="center" vertical="center"/>
    </xf>
    <xf numFmtId="0" fontId="9" fillId="3" borderId="5" xfId="21" applyFont="1" applyFill="1" applyBorder="1" applyAlignment="1">
      <alignment horizontal="center"/>
    </xf>
    <xf numFmtId="0" fontId="9" fillId="3" borderId="0" xfId="21" applyFont="1" applyFill="1" applyBorder="1" applyAlignment="1">
      <alignment horizontal="center"/>
    </xf>
    <xf numFmtId="0" fontId="9" fillId="3" borderId="6" xfId="21" applyFont="1" applyFill="1" applyBorder="1" applyAlignment="1">
      <alignment horizontal="center"/>
    </xf>
    <xf numFmtId="2" fontId="41" fillId="3" borderId="5" xfId="21" applyNumberFormat="1" applyFont="1" applyFill="1" applyBorder="1" applyAlignment="1">
      <alignment horizontal="center" vertical="center"/>
    </xf>
    <xf numFmtId="2" fontId="41" fillId="3" borderId="0" xfId="21" applyNumberFormat="1" applyFont="1" applyFill="1" applyBorder="1" applyAlignment="1">
      <alignment horizontal="center" vertical="center"/>
    </xf>
    <xf numFmtId="2" fontId="41" fillId="3" borderId="6" xfId="21" applyNumberFormat="1" applyFont="1" applyFill="1" applyBorder="1" applyAlignment="1">
      <alignment horizontal="center" vertical="center"/>
    </xf>
    <xf numFmtId="0" fontId="9" fillId="9" borderId="5" xfId="21" applyFont="1" applyFill="1" applyBorder="1" applyAlignment="1">
      <alignment horizontal="right"/>
    </xf>
    <xf numFmtId="0" fontId="9" fillId="9" borderId="0" xfId="21" applyFont="1" applyFill="1" applyBorder="1" applyAlignment="1">
      <alignment horizontal="right"/>
    </xf>
    <xf numFmtId="0" fontId="17" fillId="5" borderId="8" xfId="21" applyFont="1" applyFill="1" applyBorder="1" applyAlignment="1">
      <alignment horizontal="center" vertical="center"/>
    </xf>
    <xf numFmtId="0" fontId="54" fillId="11" borderId="0" xfId="21" applyFont="1" applyFill="1" applyAlignment="1">
      <alignment horizontal="center" vertical="center"/>
    </xf>
    <xf numFmtId="0" fontId="9" fillId="8" borderId="5" xfId="21" applyFont="1" applyFill="1" applyBorder="1" applyAlignment="1">
      <alignment horizontal="center"/>
    </xf>
    <xf numFmtId="0" fontId="9" fillId="8" borderId="0" xfId="21" applyFont="1" applyFill="1" applyBorder="1" applyAlignment="1">
      <alignment horizontal="center"/>
    </xf>
    <xf numFmtId="0" fontId="9" fillId="8" borderId="6" xfId="21" applyFont="1" applyFill="1" applyBorder="1" applyAlignment="1">
      <alignment horizontal="center"/>
    </xf>
    <xf numFmtId="167" fontId="41" fillId="8" borderId="5" xfId="21" applyNumberFormat="1" applyFont="1" applyFill="1" applyBorder="1" applyAlignment="1">
      <alignment horizontal="center" vertical="center"/>
    </xf>
    <xf numFmtId="167" fontId="41" fillId="8" borderId="0" xfId="21" applyNumberFormat="1" applyFont="1" applyFill="1" applyBorder="1" applyAlignment="1">
      <alignment horizontal="center" vertical="center"/>
    </xf>
    <xf numFmtId="167" fontId="41" fillId="8" borderId="6" xfId="21" applyNumberFormat="1" applyFont="1" applyFill="1" applyBorder="1" applyAlignment="1">
      <alignment horizontal="center" vertical="center"/>
    </xf>
    <xf numFmtId="0" fontId="74" fillId="8" borderId="5" xfId="21" applyFont="1" applyFill="1" applyBorder="1" applyAlignment="1">
      <alignment horizontal="center" vertical="center" wrapText="1"/>
    </xf>
    <xf numFmtId="0" fontId="75" fillId="0" borderId="0" xfId="0" applyFont="1" applyAlignment="1">
      <alignment horizontal="center" vertical="center" wrapText="1"/>
    </xf>
    <xf numFmtId="0" fontId="75" fillId="0" borderId="6" xfId="0" applyFont="1" applyBorder="1" applyAlignment="1">
      <alignment horizontal="center" vertical="center" wrapText="1"/>
    </xf>
    <xf numFmtId="0" fontId="75" fillId="0" borderId="21" xfId="0" applyFont="1" applyBorder="1" applyAlignment="1">
      <alignment horizontal="center" vertical="center" wrapText="1"/>
    </xf>
    <xf numFmtId="0" fontId="75" fillId="0" borderId="22" xfId="0" applyFont="1" applyBorder="1" applyAlignment="1">
      <alignment horizontal="center" vertical="center" wrapText="1"/>
    </xf>
    <xf numFmtId="0" fontId="75" fillId="0" borderId="23" xfId="0" applyFont="1" applyBorder="1" applyAlignment="1">
      <alignment horizontal="center" vertical="center" wrapText="1"/>
    </xf>
    <xf numFmtId="0" fontId="52" fillId="0" borderId="0" xfId="32" applyFont="1" applyFill="1" applyBorder="1" applyAlignment="1">
      <alignment horizontal="center" vertical="center"/>
    </xf>
    <xf numFmtId="2" fontId="9" fillId="0" borderId="0" xfId="0" applyNumberFormat="1" applyFont="1" applyFill="1" applyAlignment="1"/>
    <xf numFmtId="0" fontId="0" fillId="0" borderId="0" xfId="0" applyAlignment="1"/>
    <xf numFmtId="1" fontId="5" fillId="0" borderId="0" xfId="0" applyNumberFormat="1" applyFont="1" applyAlignment="1">
      <alignment horizontal="right"/>
    </xf>
    <xf numFmtId="1" fontId="4" fillId="0" borderId="0" xfId="0" applyNumberFormat="1" applyFont="1" applyAlignment="1">
      <alignment horizontal="right"/>
    </xf>
    <xf numFmtId="1" fontId="5" fillId="0" borderId="0" xfId="0" applyNumberFormat="1" applyFont="1" applyAlignment="1">
      <alignment horizontal="left"/>
    </xf>
    <xf numFmtId="1" fontId="13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" fontId="1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42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3" xfId="0" applyBorder="1" applyAlignment="1">
      <alignment horizontal="center" vertical="center"/>
    </xf>
    <xf numFmtId="0" fontId="80" fillId="0" borderId="42" xfId="0" applyFont="1" applyBorder="1" applyAlignment="1">
      <alignment horizontal="center"/>
    </xf>
    <xf numFmtId="0" fontId="80" fillId="0" borderId="43" xfId="0" applyFont="1" applyBorder="1" applyAlignment="1">
      <alignment horizontal="center"/>
    </xf>
    <xf numFmtId="0" fontId="0" fillId="0" borderId="44" xfId="0" applyBorder="1" applyAlignment="1">
      <alignment horizontal="left"/>
    </xf>
    <xf numFmtId="0" fontId="0" fillId="0" borderId="45" xfId="0" applyBorder="1" applyAlignment="1">
      <alignment horizontal="left"/>
    </xf>
    <xf numFmtId="0" fontId="8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35">
    <cellStyle name="Comma" xfId="20" builtinId="3"/>
    <cellStyle name="Comma 2" xfId="26" xr:uid="{00000000-0005-0000-0000-000001000000}"/>
    <cellStyle name="Comma 3" xfId="34" xr:uid="{00000000-0005-0000-0000-000002000000}"/>
    <cellStyle name="Euro" xfId="27" xr:uid="{00000000-0005-0000-0000-000003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Header" xfId="28" xr:uid="{00000000-0005-0000-0000-00000D000000}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3" builtinId="8"/>
    <cellStyle name="Hyperlink 2" xfId="29" xr:uid="{00000000-0005-0000-0000-000018000000}"/>
    <cellStyle name="Menu Bar" xfId="30" xr:uid="{00000000-0005-0000-0000-000019000000}"/>
    <cellStyle name="Normal" xfId="0" builtinId="0"/>
    <cellStyle name="Normal 2" xfId="21" xr:uid="{00000000-0005-0000-0000-00001B000000}"/>
    <cellStyle name="Normal 3" xfId="22" xr:uid="{00000000-0005-0000-0000-00001C000000}"/>
    <cellStyle name="Normal 4" xfId="32" xr:uid="{00000000-0005-0000-0000-00001D000000}"/>
    <cellStyle name="normální_Calc" xfId="31" xr:uid="{00000000-0005-0000-0000-00001E000000}"/>
    <cellStyle name="Percent" xfId="1" builtinId="5"/>
    <cellStyle name="Percent 2" xfId="24" xr:uid="{00000000-0005-0000-0000-000020000000}"/>
    <cellStyle name="Percent 2 2" xfId="25" xr:uid="{00000000-0005-0000-0000-000021000000}"/>
    <cellStyle name="Percent 3" xfId="33" xr:uid="{00000000-0005-0000-0000-000022000000}"/>
  </cellStyles>
  <dxfs count="2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10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9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chartsheet" Target="chartsheets/sheet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Evaporated</c:v>
          </c:tx>
          <c:spPr>
            <a:ln>
              <a:solidFill>
                <a:schemeClr val="tx2"/>
              </a:solidFill>
            </a:ln>
          </c:spPr>
          <c:invertIfNegative val="0"/>
          <c:val>
            <c:numRef>
              <c:f>'2.Cooling'!$CZ$33</c:f>
              <c:numCache>
                <c:formatCode>General</c:formatCode>
                <c:ptCount val="1"/>
                <c:pt idx="0">
                  <c:v>14.497523803332651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36-4689-BE1F-9210C95B71D7}"/>
            </c:ext>
          </c:extLst>
        </c:ser>
        <c:ser>
          <c:idx val="1"/>
          <c:order val="1"/>
          <c:tx>
            <c:v>Drift</c:v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/>
              </a:solidFill>
            </a:ln>
          </c:spPr>
          <c:invertIfNegative val="0"/>
          <c:val>
            <c:numRef>
              <c:f>'2.Cooling'!$CZ$34</c:f>
              <c:numCache>
                <c:formatCode>General</c:formatCode>
                <c:ptCount val="1"/>
                <c:pt idx="0">
                  <c:v>0.15476474802961551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36-4689-BE1F-9210C95B71D7}"/>
            </c:ext>
          </c:extLst>
        </c:ser>
        <c:ser>
          <c:idx val="3"/>
          <c:order val="2"/>
          <c:tx>
            <c:v>Discharge</c:v>
          </c:tx>
          <c:spPr>
            <a:solidFill>
              <a:schemeClr val="bg1"/>
            </a:solidFill>
            <a:ln>
              <a:solidFill>
                <a:schemeClr val="tx2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chemeClr val="tx2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BF36-4689-BE1F-9210C95B71D7}"/>
              </c:ext>
            </c:extLst>
          </c:dPt>
          <c:val>
            <c:numRef>
              <c:f>'2.Cooling'!$CZ$35</c:f>
              <c:numCache>
                <c:formatCode>General</c:formatCode>
                <c:ptCount val="1"/>
                <c:pt idx="0">
                  <c:v>2.7447400126369148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36-4689-BE1F-9210C95B7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56754048"/>
        <c:axId val="256755584"/>
      </c:barChart>
      <c:catAx>
        <c:axId val="256754048"/>
        <c:scaling>
          <c:orientation val="minMax"/>
        </c:scaling>
        <c:delete val="1"/>
        <c:axPos val="l"/>
        <c:majorTickMark val="out"/>
        <c:minorTickMark val="none"/>
        <c:tickLblPos val="nextTo"/>
        <c:crossAx val="256755584"/>
        <c:crosses val="autoZero"/>
        <c:auto val="1"/>
        <c:lblAlgn val="ctr"/>
        <c:lblOffset val="100"/>
        <c:noMultiLvlLbl val="0"/>
      </c:catAx>
      <c:valAx>
        <c:axId val="256755584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56754048"/>
        <c:crosses val="autoZero"/>
        <c:crossBetween val="between"/>
      </c:valAx>
      <c:spPr>
        <a:noFill/>
      </c:spPr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020042949176806E-2"/>
          <c:y val="0.10322573653324085"/>
          <c:w val="0.86783870198043422"/>
          <c:h val="0.37271797257296946"/>
        </c:manualLayout>
      </c:layout>
      <c:barChart>
        <c:barDir val="bar"/>
        <c:grouping val="stacked"/>
        <c:varyColors val="0"/>
        <c:ser>
          <c:idx val="0"/>
          <c:order val="0"/>
          <c:tx>
            <c:v>Cap Cost</c:v>
          </c:tx>
          <c:spPr>
            <a:solidFill>
              <a:schemeClr val="accent2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'3.Report'!$D$107</c:f>
              <c:numCache>
                <c:formatCode>0.0</c:formatCode>
                <c:ptCount val="1"/>
                <c:pt idx="0">
                  <c:v>1.1784944228616747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2-444E-B7DE-122A06C3813E}"/>
            </c:ext>
          </c:extLst>
        </c:ser>
        <c:ser>
          <c:idx val="1"/>
          <c:order val="1"/>
          <c:tx>
            <c:v>Op Cost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'3.Report'!$D$108</c:f>
              <c:numCache>
                <c:formatCode>0.0</c:formatCode>
                <c:ptCount val="1"/>
                <c:pt idx="0">
                  <c:v>0.47303999999999991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C2-444E-B7DE-122A06C38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overlap val="100"/>
        <c:axId val="284882432"/>
        <c:axId val="284883968"/>
      </c:barChart>
      <c:catAx>
        <c:axId val="284882432"/>
        <c:scaling>
          <c:orientation val="minMax"/>
        </c:scaling>
        <c:delete val="1"/>
        <c:axPos val="l"/>
        <c:majorTickMark val="out"/>
        <c:minorTickMark val="none"/>
        <c:tickLblPos val="nextTo"/>
        <c:crossAx val="284883968"/>
        <c:crosses val="autoZero"/>
        <c:auto val="1"/>
        <c:lblAlgn val="ctr"/>
        <c:lblOffset val="100"/>
        <c:noMultiLvlLbl val="0"/>
      </c:catAx>
      <c:valAx>
        <c:axId val="28488396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/>
                </a:pPr>
                <a:r>
                  <a:rPr lang="en-GB" sz="800" b="0"/>
                  <a:t>Total annual costs(M $)</a:t>
                </a:r>
              </a:p>
            </c:rich>
          </c:tx>
          <c:layout>
            <c:manualLayout>
              <c:xMode val="edge"/>
              <c:yMode val="edge"/>
              <c:x val="0.59294484126984126"/>
              <c:y val="0.7135661499492125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48824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20209973753283"/>
          <c:y val="6.3807584396777986E-2"/>
          <c:w val="0.73515393346102009"/>
          <c:h val="0.7309403824521935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Charts!$J$4:$J$5</c:f>
              <c:numCache>
                <c:formatCode>0</c:formatCode>
                <c:ptCount val="2"/>
                <c:pt idx="0">
                  <c:v>47.17</c:v>
                </c:pt>
                <c:pt idx="1">
                  <c:v>47.17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3-4CED-A95B-78CE056953E0}"/>
            </c:ext>
          </c:extLst>
        </c:ser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Charts!$K$4:$K$5</c:f>
              <c:numCache>
                <c:formatCode>0</c:formatCode>
                <c:ptCount val="2"/>
                <c:pt idx="0" formatCode="General">
                  <c:v>31.169999999999998</c:v>
                </c:pt>
                <c:pt idx="1">
                  <c:v>41.17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23-4CED-A95B-78CE056953E0}"/>
            </c:ext>
          </c:extLst>
        </c:ser>
        <c:ser>
          <c:idx val="2"/>
          <c:order val="2"/>
          <c:tx>
            <c:v>cooling tower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Charts!$L$4:$L$5</c:f>
              <c:numCache>
                <c:formatCode>General</c:formatCode>
                <c:ptCount val="2"/>
                <c:pt idx="0" formatCode="0">
                  <c:v>41.17</c:v>
                </c:pt>
                <c:pt idx="1">
                  <c:v>31.169999999999998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23-4CED-A95B-78CE056953E0}"/>
            </c:ext>
          </c:extLst>
        </c:ser>
        <c:ser>
          <c:idx val="3"/>
          <c:order val="3"/>
          <c:tx>
            <c:v>CT2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Charts!$L$6:$L$7</c:f>
              <c:numCache>
                <c:formatCode>General</c:formatCode>
                <c:ptCount val="2"/>
                <c:pt idx="0">
                  <c:v>35.17</c:v>
                </c:pt>
                <c:pt idx="1">
                  <c:v>25.169999999999998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23-4CED-A95B-78CE05695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89184"/>
        <c:axId val="276595456"/>
      </c:scatterChart>
      <c:valAx>
        <c:axId val="276589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Load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595456"/>
        <c:crosses val="autoZero"/>
        <c:crossBetween val="midCat"/>
      </c:valAx>
      <c:valAx>
        <c:axId val="2765954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Temperature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765891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Evaporated</c:v>
          </c:tx>
          <c:spPr>
            <a:ln>
              <a:solidFill>
                <a:schemeClr val="tx2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'2.Cooling'!$CZ$33</c:f>
              <c:numCache>
                <c:formatCode>General</c:formatCode>
                <c:ptCount val="1"/>
                <c:pt idx="0">
                  <c:v>14.497523803332651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9-4A43-B295-06C08943420B}"/>
            </c:ext>
          </c:extLst>
        </c:ser>
        <c:ser>
          <c:idx val="1"/>
          <c:order val="1"/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/>
              </a:solidFill>
            </a:ln>
          </c:spPr>
          <c:invertIfNegative val="0"/>
          <c:val>
            <c:numRef>
              <c:f>'2.Cooling'!$CZ$34</c:f>
              <c:numCache>
                <c:formatCode>General</c:formatCode>
                <c:ptCount val="1"/>
                <c:pt idx="0">
                  <c:v>0.15476474802961551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B9-4A43-B295-06C08943420B}"/>
            </c:ext>
          </c:extLst>
        </c:ser>
        <c:ser>
          <c:idx val="3"/>
          <c:order val="2"/>
          <c:tx>
            <c:v>Discharged</c:v>
          </c:tx>
          <c:spPr>
            <a:solidFill>
              <a:schemeClr val="bg1"/>
            </a:solidFill>
            <a:ln>
              <a:solidFill>
                <a:schemeClr val="tx2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chemeClr val="tx2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7DB9-4A43-B295-06C08943420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'2.Cooling'!$CZ$35</c:f>
              <c:numCache>
                <c:formatCode>General</c:formatCode>
                <c:ptCount val="1"/>
                <c:pt idx="0">
                  <c:v>2.7447400126369148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B9-4A43-B295-06C089434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4444928"/>
        <c:axId val="284459008"/>
      </c:barChart>
      <c:catAx>
        <c:axId val="284444928"/>
        <c:scaling>
          <c:orientation val="minMax"/>
        </c:scaling>
        <c:delete val="1"/>
        <c:axPos val="l"/>
        <c:majorTickMark val="out"/>
        <c:minorTickMark val="none"/>
        <c:tickLblPos val="nextTo"/>
        <c:crossAx val="284459008"/>
        <c:crosses val="autoZero"/>
        <c:auto val="1"/>
        <c:lblAlgn val="ctr"/>
        <c:lblOffset val="100"/>
        <c:noMultiLvlLbl val="0"/>
      </c:catAx>
      <c:valAx>
        <c:axId val="28445900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44449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invertIfNegative val="0"/>
          <c:val>
            <c:numRef>
              <c:f>'3.Report'!$E$9</c:f>
              <c:numCache>
                <c:formatCode>0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C1-4DAA-A82C-112AC57EE0C2}"/>
            </c:ext>
          </c:extLst>
        </c:ser>
        <c:ser>
          <c:idx val="1"/>
          <c:order val="1"/>
          <c:spPr>
            <a:noFill/>
            <a:ln>
              <a:solidFill>
                <a:schemeClr val="tx1"/>
              </a:solidFill>
            </a:ln>
          </c:spPr>
          <c:invertIfNegative val="0"/>
          <c:val>
            <c:numRef>
              <c:f>'3.Report'!$E$12</c:f>
              <c:numCache>
                <c:formatCode>0</c:formatCode>
                <c:ptCount val="1"/>
                <c:pt idx="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C1-4DAA-A82C-112AC57EE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85357184"/>
        <c:axId val="285358720"/>
      </c:barChart>
      <c:catAx>
        <c:axId val="285357184"/>
        <c:scaling>
          <c:orientation val="minMax"/>
        </c:scaling>
        <c:delete val="1"/>
        <c:axPos val="b"/>
        <c:majorTickMark val="out"/>
        <c:minorTickMark val="none"/>
        <c:tickLblPos val="nextTo"/>
        <c:crossAx val="285358720"/>
        <c:crosses val="autoZero"/>
        <c:auto val="1"/>
        <c:lblAlgn val="ctr"/>
        <c:lblOffset val="100"/>
        <c:noMultiLvlLbl val="0"/>
      </c:catAx>
      <c:valAx>
        <c:axId val="2853587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35718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020042949176806E-2"/>
          <c:y val="0.10322573653324085"/>
          <c:w val="0.86783870198043422"/>
          <c:h val="0.37271797257296946"/>
        </c:manualLayout>
      </c:layout>
      <c:barChart>
        <c:barDir val="bar"/>
        <c:grouping val="stacked"/>
        <c:varyColors val="0"/>
        <c:ser>
          <c:idx val="0"/>
          <c:order val="0"/>
          <c:tx>
            <c:v>Cap Cost</c:v>
          </c:tx>
          <c:spPr>
            <a:solidFill>
              <a:schemeClr val="accent2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'3.Report'!$D$146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43-455A-B1B5-08152620FFF3}"/>
            </c:ext>
          </c:extLst>
        </c:ser>
        <c:ser>
          <c:idx val="1"/>
          <c:order val="1"/>
          <c:tx>
            <c:v>Op Cost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'3.Report'!$D$147</c:f>
              <c:numCache>
                <c:formatCode>_(* #,##0.0_);_(* \(#,##0.0\);_(* "-"??_);_(@_)</c:formatCode>
                <c:ptCount val="1"/>
                <c:pt idx="0">
                  <c:v>1.7106988417520101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43-455A-B1B5-08152620F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overlap val="100"/>
        <c:axId val="285397376"/>
        <c:axId val="285398912"/>
      </c:barChart>
      <c:catAx>
        <c:axId val="285397376"/>
        <c:scaling>
          <c:orientation val="minMax"/>
        </c:scaling>
        <c:delete val="1"/>
        <c:axPos val="l"/>
        <c:majorTickMark val="out"/>
        <c:minorTickMark val="none"/>
        <c:tickLblPos val="nextTo"/>
        <c:crossAx val="285398912"/>
        <c:crosses val="autoZero"/>
        <c:auto val="1"/>
        <c:lblAlgn val="ctr"/>
        <c:lblOffset val="100"/>
        <c:noMultiLvlLbl val="0"/>
      </c:catAx>
      <c:valAx>
        <c:axId val="28539891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/>
                </a:pPr>
                <a:r>
                  <a:rPr lang="en-GB" sz="800" b="0"/>
                  <a:t>Total annual costs(M $)</a:t>
                </a:r>
              </a:p>
            </c:rich>
          </c:tx>
          <c:layout>
            <c:manualLayout>
              <c:xMode val="edge"/>
              <c:yMode val="edge"/>
              <c:x val="0.59294484126984126"/>
              <c:y val="0.7135661499492125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39737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67191601049871"/>
          <c:y val="6.3807584396777986E-2"/>
          <c:w val="0.70750990217131948"/>
          <c:h val="0.75773463661869855"/>
        </c:manualLayout>
      </c:layout>
      <c:scatterChart>
        <c:scatterStyle val="lineMarker"/>
        <c:varyColors val="0"/>
        <c:ser>
          <c:idx val="0"/>
          <c:order val="0"/>
          <c:tx>
            <c:v>condenser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Charts!$B$4:$B$5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Charts!$C$4:$C$5</c:f>
              <c:numCache>
                <c:formatCode>General</c:formatCode>
                <c:ptCount val="2"/>
                <c:pt idx="0">
                  <c:v>36</c:v>
                </c:pt>
                <c:pt idx="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1-4689-8F9B-A500C2029A87}"/>
            </c:ext>
          </c:extLst>
        </c:ser>
        <c:ser>
          <c:idx val="1"/>
          <c:order val="1"/>
          <c:tx>
            <c:v>Once Through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Charts!$B$4:$B$5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Charts!$D$4:$D$5</c:f>
              <c:numCache>
                <c:formatCode>General</c:formatCode>
                <c:ptCount val="2"/>
                <c:pt idx="0">
                  <c:v>20</c:v>
                </c:pt>
                <c:pt idx="1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31-4689-8F9B-A500C2029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6819072"/>
        <c:axId val="286820992"/>
      </c:scatterChart>
      <c:valAx>
        <c:axId val="286819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Load(MW)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6820992"/>
        <c:crosses val="autoZero"/>
        <c:crossBetween val="midCat"/>
      </c:valAx>
      <c:valAx>
        <c:axId val="2868209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Temperature (°C)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681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20209973753283"/>
          <c:y val="6.3807584396777986E-2"/>
          <c:w val="0.73515393346102009"/>
          <c:h val="0.77379762874468283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Charts!$J$4:$J$5</c:f>
              <c:numCache>
                <c:formatCode>0</c:formatCode>
                <c:ptCount val="2"/>
                <c:pt idx="0">
                  <c:v>47.17</c:v>
                </c:pt>
                <c:pt idx="1">
                  <c:v>47.17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BC-4190-B87C-CF7FCB0B3BCC}"/>
            </c:ext>
          </c:extLst>
        </c:ser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Charts!$K$4:$K$5</c:f>
              <c:numCache>
                <c:formatCode>0</c:formatCode>
                <c:ptCount val="2"/>
                <c:pt idx="0" formatCode="General">
                  <c:v>31.169999999999998</c:v>
                </c:pt>
                <c:pt idx="1">
                  <c:v>41.17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BC-4190-B87C-CF7FCB0B3BCC}"/>
            </c:ext>
          </c:extLst>
        </c:ser>
        <c:ser>
          <c:idx val="2"/>
          <c:order val="2"/>
          <c:tx>
            <c:v>cooling tower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Charts!$L$4:$L$5</c:f>
              <c:numCache>
                <c:formatCode>General</c:formatCode>
                <c:ptCount val="2"/>
                <c:pt idx="0" formatCode="0">
                  <c:v>41.17</c:v>
                </c:pt>
                <c:pt idx="1">
                  <c:v>31.169999999999998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BC-4190-B87C-CF7FCB0B3BCC}"/>
            </c:ext>
          </c:extLst>
        </c:ser>
        <c:ser>
          <c:idx val="3"/>
          <c:order val="3"/>
          <c:tx>
            <c:v>CT2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Charts!$L$6:$L$7</c:f>
              <c:numCache>
                <c:formatCode>General</c:formatCode>
                <c:ptCount val="2"/>
                <c:pt idx="0">
                  <c:v>35.17</c:v>
                </c:pt>
                <c:pt idx="1">
                  <c:v>25.169999999999998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BC-4190-B87C-CF7FCB0B3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201536"/>
        <c:axId val="287224192"/>
      </c:scatterChart>
      <c:valAx>
        <c:axId val="28720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Load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7224192"/>
        <c:crosses val="autoZero"/>
        <c:crossBetween val="midCat"/>
      </c:valAx>
      <c:valAx>
        <c:axId val="2872241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Temperature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8720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20209973753283"/>
          <c:y val="6.3807584396777986E-2"/>
          <c:w val="0.73515393346102009"/>
          <c:h val="0.77379762874468283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Charts!$J$4:$J$5</c:f>
              <c:numCache>
                <c:formatCode>0</c:formatCode>
                <c:ptCount val="2"/>
                <c:pt idx="0">
                  <c:v>47.17</c:v>
                </c:pt>
                <c:pt idx="1">
                  <c:v>47.17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E3-416A-8861-CE791491C330}"/>
            </c:ext>
          </c:extLst>
        </c:ser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Charts!$I$4:$I$5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900</c:v>
                </c:pt>
              </c:numCache>
            </c:numRef>
          </c:xVal>
          <c:yVal>
            <c:numRef>
              <c:f>Charts!$K$4:$K$5</c:f>
              <c:numCache>
                <c:formatCode>0</c:formatCode>
                <c:ptCount val="2"/>
                <c:pt idx="0" formatCode="General">
                  <c:v>31.169999999999998</c:v>
                </c:pt>
                <c:pt idx="1">
                  <c:v>41.17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E3-416A-8861-CE791491C330}"/>
            </c:ext>
          </c:extLst>
        </c:ser>
        <c:ser>
          <c:idx val="2"/>
          <c:order val="2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Charts!$L$4:$L$5</c:f>
              <c:numCache>
                <c:formatCode>General</c:formatCode>
                <c:ptCount val="2"/>
                <c:pt idx="0" formatCode="0">
                  <c:v>41.17</c:v>
                </c:pt>
                <c:pt idx="1">
                  <c:v>31.169999999999998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E3-416A-8861-CE791491C330}"/>
            </c:ext>
          </c:extLst>
        </c:ser>
        <c:ser>
          <c:idx val="3"/>
          <c:order val="3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Charts!$I$6:$I$7</c:f>
              <c:numCache>
                <c:formatCode>0</c:formatCode>
                <c:ptCount val="2"/>
                <c:pt idx="0">
                  <c:v>900</c:v>
                </c:pt>
                <c:pt idx="1">
                  <c:v>1800</c:v>
                </c:pt>
              </c:numCache>
            </c:numRef>
          </c:xVal>
          <c:yVal>
            <c:numRef>
              <c:f>Charts!$M$6:$M$7</c:f>
              <c:numCache>
                <c:formatCode>General</c:formatCode>
                <c:ptCount val="2"/>
                <c:pt idx="0">
                  <c:v>50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E3-416A-8861-CE791491C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277056"/>
        <c:axId val="287278976"/>
      </c:scatterChart>
      <c:valAx>
        <c:axId val="287277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Load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7278976"/>
        <c:crosses val="autoZero"/>
        <c:crossBetween val="midCat"/>
      </c:valAx>
      <c:valAx>
        <c:axId val="2872789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Temperature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8727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Sheet2!$A$9:$C$9</c:f>
              <c:strCache>
                <c:ptCount val="3"/>
                <c:pt idx="0">
                  <c:v>Supply for construction staff</c:v>
                </c:pt>
                <c:pt idx="1">
                  <c:v>300000</c:v>
                </c:pt>
                <c:pt idx="2">
                  <c:v>600000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Sheet2!$B$4:$C$4</c:f>
              <c:numCache>
                <c:formatCode>General</c:formatCode>
                <c:ptCount val="2"/>
                <c:pt idx="0">
                  <c:v>800</c:v>
                </c:pt>
                <c:pt idx="1">
                  <c:v>1400</c:v>
                </c:pt>
              </c:numCache>
            </c:numRef>
          </c:xVal>
          <c:yVal>
            <c:numRef>
              <c:f>Sheet2!$B$9:$C$9</c:f>
              <c:numCache>
                <c:formatCode>General</c:formatCode>
                <c:ptCount val="2"/>
                <c:pt idx="0">
                  <c:v>300000</c:v>
                </c:pt>
                <c:pt idx="1">
                  <c:v>600000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A8-4D77-9EB8-54A6CA9EF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509184"/>
        <c:axId val="290510720"/>
      </c:scatterChart>
      <c:valAx>
        <c:axId val="29050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0510720"/>
        <c:crosses val="autoZero"/>
        <c:crossBetween val="midCat"/>
      </c:valAx>
      <c:valAx>
        <c:axId val="2905107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0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39642322224988891"/>
                  <c:y val="-0.112823749306109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Enthalpy'!$B$5:$B$81</c:f>
              <c:numCache>
                <c:formatCode>General</c:formatCode>
                <c:ptCount val="77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372.5</c:v>
                </c:pt>
                <c:pt idx="76">
                  <c:v>373.976</c:v>
                </c:pt>
              </c:numCache>
            </c:numRef>
          </c:xVal>
          <c:yVal>
            <c:numRef>
              <c:f>'Specific Enthalpy'!$C$5:$C$81</c:f>
              <c:numCache>
                <c:formatCode>General</c:formatCode>
                <c:ptCount val="77"/>
                <c:pt idx="0">
                  <c:v>4.9652183601813386E-2</c:v>
                </c:pt>
                <c:pt idx="1">
                  <c:v>21.041529015453079</c:v>
                </c:pt>
                <c:pt idx="2">
                  <c:v>42.029982882496995</c:v>
                </c:pt>
                <c:pt idx="3">
                  <c:v>62.984769836450205</c:v>
                </c:pt>
                <c:pt idx="4">
                  <c:v>83.915596300808005</c:v>
                </c:pt>
                <c:pt idx="5">
                  <c:v>104.83032774703322</c:v>
                </c:pt>
                <c:pt idx="6">
                  <c:v>125.735296001313</c:v>
                </c:pt>
                <c:pt idx="7">
                  <c:v>146.63558261128208</c:v>
                </c:pt>
                <c:pt idx="8">
                  <c:v>167.53527827271199</c:v>
                </c:pt>
                <c:pt idx="9">
                  <c:v>188.43771831616681</c:v>
                </c:pt>
                <c:pt idx="10">
                  <c:v>209.345694253625</c:v>
                </c:pt>
                <c:pt idx="11">
                  <c:v>230.26164138506746</c:v>
                </c:pt>
                <c:pt idx="12">
                  <c:v>251.18780246503201</c:v>
                </c:pt>
                <c:pt idx="13">
                  <c:v>272.12636742913395</c:v>
                </c:pt>
                <c:pt idx="14">
                  <c:v>293.07958918055294</c:v>
                </c:pt>
                <c:pt idx="15">
                  <c:v>314.04987543648627</c:v>
                </c:pt>
                <c:pt idx="16">
                  <c:v>335.03985663456791</c:v>
                </c:pt>
                <c:pt idx="17">
                  <c:v>356.05242989925461</c:v>
                </c:pt>
                <c:pt idx="18">
                  <c:v>377.09077906817708</c:v>
                </c:pt>
                <c:pt idx="19">
                  <c:v>398.15837077845862</c:v>
                </c:pt>
                <c:pt idx="20">
                  <c:v>419.25892661300003</c:v>
                </c:pt>
                <c:pt idx="21">
                  <c:v>440.39637130672872</c:v>
                </c:pt>
                <c:pt idx="22">
                  <c:v>461.57475701281697</c:v>
                </c:pt>
                <c:pt idx="23">
                  <c:v>482.79816362886459</c:v>
                </c:pt>
                <c:pt idx="24">
                  <c:v>504.07057518304794</c:v>
                </c:pt>
                <c:pt idx="25">
                  <c:v>525.3957322802363</c:v>
                </c:pt>
                <c:pt idx="26">
                  <c:v>546.77696060807295</c:v>
                </c:pt>
                <c:pt idx="27">
                  <c:v>568.21697550302395</c:v>
                </c:pt>
                <c:pt idx="28">
                  <c:v>589.71766257639206</c:v>
                </c:pt>
                <c:pt idx="29">
                  <c:v>611.27983440029743</c:v>
                </c:pt>
                <c:pt idx="30">
                  <c:v>632.9029632536251</c:v>
                </c:pt>
                <c:pt idx="31">
                  <c:v>654.58488992793684</c:v>
                </c:pt>
                <c:pt idx="32">
                  <c:v>676.32150859335206</c:v>
                </c:pt>
                <c:pt idx="33">
                  <c:v>698.10642772439223</c:v>
                </c:pt>
                <c:pt idx="34">
                  <c:v>719.9306070857931</c:v>
                </c:pt>
                <c:pt idx="35">
                  <c:v>741.78197077828304</c:v>
                </c:pt>
                <c:pt idx="36">
                  <c:v>763.64499634432821</c:v>
                </c:pt>
                <c:pt idx="37">
                  <c:v>785.50027993384026</c:v>
                </c:pt>
                <c:pt idx="38">
                  <c:v>807.32407752985682</c:v>
                </c:pt>
                <c:pt idx="39">
                  <c:v>829.08782223418314</c:v>
                </c:pt>
                <c:pt idx="40">
                  <c:v>850.75761761300009</c:v>
                </c:pt>
                <c:pt idx="41">
                  <c:v>872.29370710244189</c:v>
                </c:pt>
                <c:pt idx="42">
                  <c:v>893.64991947413705</c:v>
                </c:pt>
                <c:pt idx="43">
                  <c:v>914.77309036071654</c:v>
                </c:pt>
                <c:pt idx="44">
                  <c:v>935.6024598412879</c:v>
                </c:pt>
                <c:pt idx="45">
                  <c:v>956.06904608687705</c:v>
                </c:pt>
                <c:pt idx="46">
                  <c:v>976.09499506583302</c:v>
                </c:pt>
                <c:pt idx="47">
                  <c:v>995.5929063092035</c:v>
                </c:pt>
                <c:pt idx="48">
                  <c:v>1014.4651347360722</c:v>
                </c:pt>
                <c:pt idx="49">
                  <c:v>1032.603068538866</c:v>
                </c:pt>
                <c:pt idx="50">
                  <c:v>1049.8863831286253</c:v>
                </c:pt>
                <c:pt idx="51">
                  <c:v>1066.1822711402438</c:v>
                </c:pt>
                <c:pt idx="52">
                  <c:v>1081.3446484976721</c:v>
                </c:pt>
                <c:pt idx="53">
                  <c:v>1095.2133365390882</c:v>
                </c:pt>
                <c:pt idx="54">
                  <c:v>1107.6132202020331</c:v>
                </c:pt>
                <c:pt idx="55">
                  <c:v>1118.3533822685179</c:v>
                </c:pt>
                <c:pt idx="56">
                  <c:v>1127.2262136700883</c:v>
                </c:pt>
                <c:pt idx="57">
                  <c:v>1134.006499852864</c:v>
                </c:pt>
                <c:pt idx="58">
                  <c:v>1138.4504832025368</c:v>
                </c:pt>
                <c:pt idx="59">
                  <c:v>1140.2949015293457</c:v>
                </c:pt>
                <c:pt idx="60">
                  <c:v>1139.2560026130004</c:v>
                </c:pt>
                <c:pt idx="61">
                  <c:v>1135.0285348075929</c:v>
                </c:pt>
                <c:pt idx="62">
                  <c:v>1127.2847137064575</c:v>
                </c:pt>
                <c:pt idx="63">
                  <c:v>1115.6731648670066</c:v>
                </c:pt>
                <c:pt idx="64">
                  <c:v>1099.817842595528</c:v>
                </c:pt>
                <c:pt idx="65">
                  <c:v>1079.3169247919559</c:v>
                </c:pt>
                <c:pt idx="66">
                  <c:v>1053.7416838545937</c:v>
                </c:pt>
                <c:pt idx="67">
                  <c:v>1022.6353336448205</c:v>
                </c:pt>
                <c:pt idx="68">
                  <c:v>985.51185251175275</c:v>
                </c:pt>
                <c:pt idx="69">
                  <c:v>941.8547823768713</c:v>
                </c:pt>
                <c:pt idx="70">
                  <c:v>891.11600387862563</c:v>
                </c:pt>
                <c:pt idx="71">
                  <c:v>832.71448757698909</c:v>
                </c:pt>
                <c:pt idx="72">
                  <c:v>766.03502121799283</c:v>
                </c:pt>
                <c:pt idx="73">
                  <c:v>690.42691305822154</c:v>
                </c:pt>
                <c:pt idx="74">
                  <c:v>605.20267124927432</c:v>
                </c:pt>
                <c:pt idx="75">
                  <c:v>558.75926609926046</c:v>
                </c:pt>
                <c:pt idx="76">
                  <c:v>530.08738518633436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A5-46FB-BC82-5A67239B6C2C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17943000769823439"/>
                  <c:y val="-8.468435502224298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Enthalpy'!$B$5:$B$81</c:f>
              <c:numCache>
                <c:formatCode>General</c:formatCode>
                <c:ptCount val="77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372.5</c:v>
                </c:pt>
                <c:pt idx="76">
                  <c:v>373.976</c:v>
                </c:pt>
              </c:numCache>
            </c:numRef>
          </c:xVal>
          <c:yVal>
            <c:numRef>
              <c:f>'Specific Enthalpy'!$D$5:$D$81</c:f>
              <c:numCache>
                <c:formatCode>General</c:formatCode>
                <c:ptCount val="77"/>
                <c:pt idx="0">
                  <c:v>2500.9363495715838</c:v>
                </c:pt>
                <c:pt idx="1">
                  <c:v>2510.083032470749</c:v>
                </c:pt>
                <c:pt idx="2">
                  <c:v>2519.2276095039806</c:v>
                </c:pt>
                <c:pt idx="3">
                  <c:v>2528.3498564163056</c:v>
                </c:pt>
                <c:pt idx="4">
                  <c:v>2537.4472545833537</c:v>
                </c:pt>
                <c:pt idx="5">
                  <c:v>2546.5166826069099</c:v>
                </c:pt>
                <c:pt idx="6">
                  <c:v>2555.5544545643675</c:v>
                </c:pt>
                <c:pt idx="7">
                  <c:v>2564.5563553404954</c:v>
                </c:pt>
                <c:pt idx="8">
                  <c:v>2573.5176730415105</c:v>
                </c:pt>
                <c:pt idx="9">
                  <c:v>2582.4332284914626</c:v>
                </c:pt>
                <c:pt idx="10">
                  <c:v>2591.2974018109371</c:v>
                </c:pt>
                <c:pt idx="11">
                  <c:v>2600.1041560780586</c:v>
                </c:pt>
                <c:pt idx="12">
                  <c:v>2608.847058071814</c:v>
                </c:pt>
                <c:pt idx="13">
                  <c:v>2617.5192960976865</c:v>
                </c:pt>
                <c:pt idx="14">
                  <c:v>2626.113694895595</c:v>
                </c:pt>
                <c:pt idx="15">
                  <c:v>2634.6227276301511</c:v>
                </c:pt>
                <c:pt idx="16">
                  <c:v>2643.0385249632254</c:v>
                </c:pt>
                <c:pt idx="17">
                  <c:v>2651.3528812088239</c:v>
                </c:pt>
                <c:pt idx="18">
                  <c:v>2659.5572575702768</c:v>
                </c:pt>
                <c:pt idx="19">
                  <c:v>2667.6427824597381</c:v>
                </c:pt>
                <c:pt idx="20">
                  <c:v>2675.6002488999998</c:v>
                </c:pt>
                <c:pt idx="21">
                  <c:v>2683.4201090086144</c:v>
                </c:pt>
                <c:pt idx="22">
                  <c:v>2691.0924655643244</c:v>
                </c:pt>
                <c:pt idx="23">
                  <c:v>2698.6070606558133</c:v>
                </c:pt>
                <c:pt idx="24">
                  <c:v>2705.9532614127611</c:v>
                </c:pt>
                <c:pt idx="25">
                  <c:v>2713.1200428192137</c:v>
                </c:pt>
                <c:pt idx="26">
                  <c:v>2720.0959676092589</c:v>
                </c:pt>
                <c:pt idx="27">
                  <c:v>2726.8691632450227</c:v>
                </c:pt>
                <c:pt idx="28">
                  <c:v>2733.427295976966</c:v>
                </c:pt>
                <c:pt idx="29">
                  <c:v>2739.7575419865066</c:v>
                </c:pt>
                <c:pt idx="30">
                  <c:v>2745.8465556109372</c:v>
                </c:pt>
                <c:pt idx="31">
                  <c:v>2751.6804346506647</c:v>
                </c:pt>
                <c:pt idx="32">
                  <c:v>2757.2446827587587</c:v>
                </c:pt>
                <c:pt idx="33">
                  <c:v>2762.5241689128097</c:v>
                </c:pt>
                <c:pt idx="34">
                  <c:v>2767.503083969103</c:v>
                </c:pt>
                <c:pt idx="35">
                  <c:v>2772.1648942990969</c:v>
                </c:pt>
                <c:pt idx="36">
                  <c:v>2776.4922925082178</c:v>
                </c:pt>
                <c:pt idx="37">
                  <c:v>2780.4671452369662</c:v>
                </c:pt>
                <c:pt idx="38">
                  <c:v>2784.0704380443317</c:v>
                </c:pt>
                <c:pt idx="39">
                  <c:v>2787.2822173735221</c:v>
                </c:pt>
                <c:pt idx="40">
                  <c:v>2790.0815296000005</c:v>
                </c:pt>
                <c:pt idx="41">
                  <c:v>2792.4463571618353</c:v>
                </c:pt>
                <c:pt idx="42">
                  <c:v>2794.3535517723676</c:v>
                </c:pt>
                <c:pt idx="43">
                  <c:v>2795.7787647151777</c:v>
                </c:pt>
                <c:pt idx="44">
                  <c:v>2796.6963742213698</c:v>
                </c:pt>
                <c:pt idx="45">
                  <c:v>2797.0794099291747</c:v>
                </c:pt>
                <c:pt idx="46">
                  <c:v>2796.8994744258512</c:v>
                </c:pt>
                <c:pt idx="47">
                  <c:v>2796.1266618719055</c:v>
                </c:pt>
                <c:pt idx="48">
                  <c:v>2794.7294737076222</c:v>
                </c:pt>
                <c:pt idx="49">
                  <c:v>2792.6747314419072</c:v>
                </c:pt>
                <c:pt idx="50">
                  <c:v>2789.9274865234374</c:v>
                </c:pt>
                <c:pt idx="51">
                  <c:v>2786.4509272941273</c:v>
                </c:pt>
                <c:pt idx="52">
                  <c:v>2782.2062830249024</c:v>
                </c:pt>
                <c:pt idx="53">
                  <c:v>2777.1527250337904</c:v>
                </c:pt>
                <c:pt idx="54">
                  <c:v>2771.2472648863113</c:v>
                </c:pt>
                <c:pt idx="55">
                  <c:v>2764.4446496781984</c:v>
                </c:pt>
                <c:pt idx="56">
                  <c:v>2756.6972544004097</c:v>
                </c:pt>
                <c:pt idx="57">
                  <c:v>2747.9549713864653</c:v>
                </c:pt>
                <c:pt idx="58">
                  <c:v>2738.1650968420881</c:v>
                </c:pt>
                <c:pt idx="59">
                  <c:v>2727.272214457163</c:v>
                </c:pt>
                <c:pt idx="60">
                  <c:v>2715.2180761000004</c:v>
                </c:pt>
                <c:pt idx="61">
                  <c:v>2701.9414795939142</c:v>
                </c:pt>
                <c:pt idx="62">
                  <c:v>2687.3781435761116</c:v>
                </c:pt>
                <c:pt idx="63">
                  <c:v>2671.4605794388976</c:v>
                </c:pt>
                <c:pt idx="64">
                  <c:v>2654.1179603531782</c:v>
                </c:pt>
                <c:pt idx="65">
                  <c:v>2635.2759873742921</c:v>
                </c:pt>
                <c:pt idx="66">
                  <c:v>2614.8567526301431</c:v>
                </c:pt>
                <c:pt idx="67">
                  <c:v>2592.7785995916447</c:v>
                </c:pt>
                <c:pt idx="68">
                  <c:v>2568.9559804254782</c:v>
                </c:pt>
                <c:pt idx="69">
                  <c:v>2543.2993104291641</c:v>
                </c:pt>
                <c:pt idx="70">
                  <c:v>2515.7148195484378</c:v>
                </c:pt>
                <c:pt idx="71">
                  <c:v>2486.1044009769462</c:v>
                </c:pt>
                <c:pt idx="72">
                  <c:v>2454.3654568382462</c:v>
                </c:pt>
                <c:pt idx="73">
                  <c:v>2420.3907409501253</c:v>
                </c:pt>
                <c:pt idx="74">
                  <c:v>2384.0681986712193</c:v>
                </c:pt>
                <c:pt idx="75">
                  <c:v>2364.9901206758141</c:v>
                </c:pt>
                <c:pt idx="76">
                  <c:v>2353.431047359134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A5-46FB-BC82-5A67239B6C2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'Specific Enthalpy'!$B$5:$B$81</c:f>
              <c:numCache>
                <c:formatCode>General</c:formatCode>
                <c:ptCount val="77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372.5</c:v>
                </c:pt>
                <c:pt idx="76">
                  <c:v>373.976</c:v>
                </c:pt>
              </c:numCache>
            </c:numRef>
          </c:xVal>
          <c:yVal>
            <c:numRef>
              <c:f>'Specific Enthalpy'!$E$5:$E$81</c:f>
              <c:numCache>
                <c:formatCode>General</c:formatCode>
                <c:ptCount val="77"/>
                <c:pt idx="0">
                  <c:v>2500.8866973879822</c:v>
                </c:pt>
                <c:pt idx="1">
                  <c:v>2489.0415034552962</c:v>
                </c:pt>
                <c:pt idx="2">
                  <c:v>2477.1976266214838</c:v>
                </c:pt>
                <c:pt idx="3">
                  <c:v>2465.3650865798554</c:v>
                </c:pt>
                <c:pt idx="4">
                  <c:v>2453.5316582825458</c:v>
                </c:pt>
                <c:pt idx="5">
                  <c:v>2441.6863548598767</c:v>
                </c:pt>
                <c:pt idx="6">
                  <c:v>2429.8191585630543</c:v>
                </c:pt>
                <c:pt idx="7">
                  <c:v>2417.9207727292132</c:v>
                </c:pt>
                <c:pt idx="8">
                  <c:v>2405.9823947687987</c:v>
                </c:pt>
                <c:pt idx="9">
                  <c:v>2393.9955101752957</c:v>
                </c:pt>
                <c:pt idx="10">
                  <c:v>2381.9517075573121</c:v>
                </c:pt>
                <c:pt idx="11">
                  <c:v>2369.8425146929912</c:v>
                </c:pt>
                <c:pt idx="12">
                  <c:v>2357.6592556067822</c:v>
                </c:pt>
                <c:pt idx="13">
                  <c:v>2345.3929286685525</c:v>
                </c:pt>
                <c:pt idx="14">
                  <c:v>2333.0341057150422</c:v>
                </c:pt>
                <c:pt idx="15">
                  <c:v>2320.5728521936649</c:v>
                </c:pt>
                <c:pt idx="16">
                  <c:v>2307.9986683286575</c:v>
                </c:pt>
                <c:pt idx="17">
                  <c:v>2295.3004513095693</c:v>
                </c:pt>
                <c:pt idx="18">
                  <c:v>2282.4664785020996</c:v>
                </c:pt>
                <c:pt idx="19">
                  <c:v>2269.4844116812797</c:v>
                </c:pt>
                <c:pt idx="20">
                  <c:v>2256.3413222869999</c:v>
                </c:pt>
                <c:pt idx="21">
                  <c:v>2243.0237377018857</c:v>
                </c:pt>
                <c:pt idx="22">
                  <c:v>2229.5177085515074</c:v>
                </c:pt>
                <c:pt idx="23">
                  <c:v>2215.8088970269487</c:v>
                </c:pt>
                <c:pt idx="24">
                  <c:v>2201.8826862297133</c:v>
                </c:pt>
                <c:pt idx="25">
                  <c:v>2187.7243105389775</c:v>
                </c:pt>
                <c:pt idx="26">
                  <c:v>2173.319007001186</c:v>
                </c:pt>
                <c:pt idx="27">
                  <c:v>2158.6521877419987</c:v>
                </c:pt>
                <c:pt idx="28">
                  <c:v>2143.7096334005737</c:v>
                </c:pt>
                <c:pt idx="29">
                  <c:v>2128.4777075862094</c:v>
                </c:pt>
                <c:pt idx="30">
                  <c:v>2112.9435923573119</c:v>
                </c:pt>
                <c:pt idx="31">
                  <c:v>2097.0955447227279</c:v>
                </c:pt>
                <c:pt idx="32">
                  <c:v>2080.9231741654066</c:v>
                </c:pt>
                <c:pt idx="33">
                  <c:v>2064.4177411884175</c:v>
                </c:pt>
                <c:pt idx="34">
                  <c:v>2047.5724768833099</c:v>
                </c:pt>
                <c:pt idx="35">
                  <c:v>2030.3829235208138</c:v>
                </c:pt>
                <c:pt idx="36">
                  <c:v>2012.8472961638895</c:v>
                </c:pt>
                <c:pt idx="37">
                  <c:v>1994.9668653031258</c:v>
                </c:pt>
                <c:pt idx="38">
                  <c:v>1976.7463605144749</c:v>
                </c:pt>
                <c:pt idx="39">
                  <c:v>1958.1943951393391</c:v>
                </c:pt>
                <c:pt idx="40">
                  <c:v>1939.3239119870004</c:v>
                </c:pt>
                <c:pt idx="41">
                  <c:v>1920.1526500593934</c:v>
                </c:pt>
                <c:pt idx="42">
                  <c:v>1900.7036322982306</c:v>
                </c:pt>
                <c:pt idx="43">
                  <c:v>1881.005674354461</c:v>
                </c:pt>
                <c:pt idx="44">
                  <c:v>1861.093914380082</c:v>
                </c:pt>
                <c:pt idx="45">
                  <c:v>1841.0103638422977</c:v>
                </c:pt>
                <c:pt idx="46">
                  <c:v>1820.8044793600181</c:v>
                </c:pt>
                <c:pt idx="47">
                  <c:v>1800.533755562702</c:v>
                </c:pt>
                <c:pt idx="48">
                  <c:v>1780.2643389715499</c:v>
                </c:pt>
                <c:pt idx="49">
                  <c:v>1760.0716629030412</c:v>
                </c:pt>
                <c:pt idx="50">
                  <c:v>1740.0411033948121</c:v>
                </c:pt>
                <c:pt idx="51">
                  <c:v>1720.2686561538835</c:v>
                </c:pt>
                <c:pt idx="52">
                  <c:v>1700.8616345272303</c:v>
                </c:pt>
                <c:pt idx="53">
                  <c:v>1681.9393884947021</c:v>
                </c:pt>
                <c:pt idx="54">
                  <c:v>1663.6340446842783</c:v>
                </c:pt>
                <c:pt idx="55">
                  <c:v>1646.0912674096805</c:v>
                </c:pt>
                <c:pt idx="56">
                  <c:v>1629.4710407303214</c:v>
                </c:pt>
                <c:pt idx="57">
                  <c:v>1613.9484715336014</c:v>
                </c:pt>
                <c:pt idx="58">
                  <c:v>1599.7146136395513</c:v>
                </c:pt>
                <c:pt idx="59">
                  <c:v>1586.9773129278174</c:v>
                </c:pt>
                <c:pt idx="60">
                  <c:v>1575.962073487</c:v>
                </c:pt>
                <c:pt idx="61">
                  <c:v>1566.9129447863213</c:v>
                </c:pt>
                <c:pt idx="62">
                  <c:v>1560.0934298696541</c:v>
                </c:pt>
                <c:pt idx="63">
                  <c:v>1555.7874145718911</c:v>
                </c:pt>
                <c:pt idx="64">
                  <c:v>1554.3001177576502</c:v>
                </c:pt>
                <c:pt idx="65">
                  <c:v>1555.9590625823362</c:v>
                </c:pt>
                <c:pt idx="66">
                  <c:v>1561.1150687755494</c:v>
                </c:pt>
                <c:pt idx="67">
                  <c:v>1570.1432659468242</c:v>
                </c:pt>
                <c:pt idx="68">
                  <c:v>1583.4441279137254</c:v>
                </c:pt>
                <c:pt idx="69">
                  <c:v>1601.4445280522928</c:v>
                </c:pt>
                <c:pt idx="70">
                  <c:v>1624.5988156698122</c:v>
                </c:pt>
                <c:pt idx="71">
                  <c:v>1653.3899133999571</c:v>
                </c:pt>
                <c:pt idx="72">
                  <c:v>1688.3304356202534</c:v>
                </c:pt>
                <c:pt idx="73">
                  <c:v>1729.9638278919037</c:v>
                </c:pt>
                <c:pt idx="74">
                  <c:v>1778.865527421945</c:v>
                </c:pt>
                <c:pt idx="75">
                  <c:v>1806.2308545765536</c:v>
                </c:pt>
                <c:pt idx="76">
                  <c:v>1823.3436621727997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A5-46FB-BC82-5A67239B6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449440"/>
        <c:axId val="512450096"/>
      </c:scatterChart>
      <c:valAx>
        <c:axId val="51244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50096"/>
        <c:crosses val="autoZero"/>
        <c:crossBetween val="midCat"/>
      </c:valAx>
      <c:valAx>
        <c:axId val="51245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4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39712737762783928"/>
                  <c:y val="0.306017243697902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Enthalpy'!$G$5:$G$35</c:f>
              <c:numCache>
                <c:formatCode>General</c:formatCode>
                <c:ptCount val="31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</c:numCache>
            </c:numRef>
          </c:xVal>
          <c:yVal>
            <c:numRef>
              <c:f>'Specific Enthalpy'!$H$5:$H$35</c:f>
              <c:numCache>
                <c:formatCode>General</c:formatCode>
                <c:ptCount val="31"/>
                <c:pt idx="0">
                  <c:v>0</c:v>
                </c:pt>
                <c:pt idx="1">
                  <c:v>21.02</c:v>
                </c:pt>
                <c:pt idx="2">
                  <c:v>41.99</c:v>
                </c:pt>
                <c:pt idx="3">
                  <c:v>62.92</c:v>
                </c:pt>
                <c:pt idx="4">
                  <c:v>83.84</c:v>
                </c:pt>
                <c:pt idx="5">
                  <c:v>104.75</c:v>
                </c:pt>
                <c:pt idx="6">
                  <c:v>125.67</c:v>
                </c:pt>
                <c:pt idx="7">
                  <c:v>146.59</c:v>
                </c:pt>
                <c:pt idx="8">
                  <c:v>167.5</c:v>
                </c:pt>
                <c:pt idx="9">
                  <c:v>188.42</c:v>
                </c:pt>
                <c:pt idx="10">
                  <c:v>209.33</c:v>
                </c:pt>
                <c:pt idx="11">
                  <c:v>230.24</c:v>
                </c:pt>
                <c:pt idx="12">
                  <c:v>251.15</c:v>
                </c:pt>
                <c:pt idx="13">
                  <c:v>272.08</c:v>
                </c:pt>
                <c:pt idx="14">
                  <c:v>293.01</c:v>
                </c:pt>
                <c:pt idx="15">
                  <c:v>313.95999999999998</c:v>
                </c:pt>
                <c:pt idx="16">
                  <c:v>334.93</c:v>
                </c:pt>
                <c:pt idx="17">
                  <c:v>355.92</c:v>
                </c:pt>
                <c:pt idx="18">
                  <c:v>376.93</c:v>
                </c:pt>
                <c:pt idx="19">
                  <c:v>397.98</c:v>
                </c:pt>
                <c:pt idx="20">
                  <c:v>419.06</c:v>
                </c:pt>
                <c:pt idx="21">
                  <c:v>440.18</c:v>
                </c:pt>
                <c:pt idx="22">
                  <c:v>461.34</c:v>
                </c:pt>
                <c:pt idx="23">
                  <c:v>482.54</c:v>
                </c:pt>
                <c:pt idx="24">
                  <c:v>503.78</c:v>
                </c:pt>
                <c:pt idx="25">
                  <c:v>525.07000000000005</c:v>
                </c:pt>
                <c:pt idx="26">
                  <c:v>546.41</c:v>
                </c:pt>
                <c:pt idx="27">
                  <c:v>567.79999999999995</c:v>
                </c:pt>
                <c:pt idx="28">
                  <c:v>589.24</c:v>
                </c:pt>
                <c:pt idx="29">
                  <c:v>610.75</c:v>
                </c:pt>
                <c:pt idx="30">
                  <c:v>632.32000000000005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2C-4021-B72A-1C3FB022C727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14043103868677659"/>
                  <c:y val="-0.1167806238453246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Enthalpy'!$G$5:$G$35</c:f>
              <c:numCache>
                <c:formatCode>General</c:formatCode>
                <c:ptCount val="31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</c:numCache>
            </c:numRef>
          </c:xVal>
          <c:yVal>
            <c:numRef>
              <c:f>'Specific Enthalpy'!$I$5:$I$35</c:f>
              <c:numCache>
                <c:formatCode>General</c:formatCode>
                <c:ptCount val="31"/>
                <c:pt idx="0">
                  <c:v>2500.5</c:v>
                </c:pt>
                <c:pt idx="1">
                  <c:v>2509.6999999999998</c:v>
                </c:pt>
                <c:pt idx="2">
                  <c:v>2518.9</c:v>
                </c:pt>
                <c:pt idx="3">
                  <c:v>2528</c:v>
                </c:pt>
                <c:pt idx="4">
                  <c:v>2537.1999999999998</c:v>
                </c:pt>
                <c:pt idx="5">
                  <c:v>2546.3000000000002</c:v>
                </c:pt>
                <c:pt idx="6">
                  <c:v>2555.3000000000002</c:v>
                </c:pt>
                <c:pt idx="7">
                  <c:v>2564.4</c:v>
                </c:pt>
                <c:pt idx="8">
                  <c:v>2573.4</c:v>
                </c:pt>
                <c:pt idx="9">
                  <c:v>2582.3000000000002</c:v>
                </c:pt>
                <c:pt idx="10">
                  <c:v>2591.1999999999998</c:v>
                </c:pt>
                <c:pt idx="11">
                  <c:v>2600</c:v>
                </c:pt>
                <c:pt idx="12">
                  <c:v>2608.8000000000002</c:v>
                </c:pt>
                <c:pt idx="13">
                  <c:v>2617.5</c:v>
                </c:pt>
                <c:pt idx="14">
                  <c:v>2626.1</c:v>
                </c:pt>
                <c:pt idx="15">
                  <c:v>2634.6</c:v>
                </c:pt>
                <c:pt idx="16">
                  <c:v>2643.1</c:v>
                </c:pt>
                <c:pt idx="17">
                  <c:v>2651.4</c:v>
                </c:pt>
                <c:pt idx="18">
                  <c:v>2659.6</c:v>
                </c:pt>
                <c:pt idx="19">
                  <c:v>2667.7</c:v>
                </c:pt>
                <c:pt idx="20">
                  <c:v>2675.7</c:v>
                </c:pt>
                <c:pt idx="21">
                  <c:v>2683.6</c:v>
                </c:pt>
                <c:pt idx="22">
                  <c:v>2691.3</c:v>
                </c:pt>
                <c:pt idx="23">
                  <c:v>2698.8</c:v>
                </c:pt>
                <c:pt idx="24">
                  <c:v>2706.2</c:v>
                </c:pt>
                <c:pt idx="25">
                  <c:v>2713.4</c:v>
                </c:pt>
                <c:pt idx="26">
                  <c:v>2720.4</c:v>
                </c:pt>
                <c:pt idx="27">
                  <c:v>2727.2</c:v>
                </c:pt>
                <c:pt idx="28">
                  <c:v>2733.8</c:v>
                </c:pt>
                <c:pt idx="29">
                  <c:v>2740.2</c:v>
                </c:pt>
                <c:pt idx="30">
                  <c:v>2746.4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2C-4021-B72A-1C3FB022C727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'Specific Enthalpy'!$G$5:$G$78</c:f>
              <c:numCache>
                <c:formatCode>General</c:formatCode>
                <c:ptCount val="74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220</c:v>
                </c:pt>
                <c:pt idx="41">
                  <c:v>225</c:v>
                </c:pt>
                <c:pt idx="42">
                  <c:v>230</c:v>
                </c:pt>
                <c:pt idx="43">
                  <c:v>235</c:v>
                </c:pt>
                <c:pt idx="44">
                  <c:v>240</c:v>
                </c:pt>
                <c:pt idx="45">
                  <c:v>245</c:v>
                </c:pt>
                <c:pt idx="46">
                  <c:v>250</c:v>
                </c:pt>
                <c:pt idx="47">
                  <c:v>255</c:v>
                </c:pt>
                <c:pt idx="48">
                  <c:v>260</c:v>
                </c:pt>
                <c:pt idx="49">
                  <c:v>265</c:v>
                </c:pt>
                <c:pt idx="50">
                  <c:v>270</c:v>
                </c:pt>
                <c:pt idx="51">
                  <c:v>275</c:v>
                </c:pt>
                <c:pt idx="52">
                  <c:v>280</c:v>
                </c:pt>
                <c:pt idx="53">
                  <c:v>285</c:v>
                </c:pt>
                <c:pt idx="54">
                  <c:v>290</c:v>
                </c:pt>
                <c:pt idx="55">
                  <c:v>295</c:v>
                </c:pt>
                <c:pt idx="56">
                  <c:v>300</c:v>
                </c:pt>
                <c:pt idx="57">
                  <c:v>305</c:v>
                </c:pt>
                <c:pt idx="58">
                  <c:v>310</c:v>
                </c:pt>
                <c:pt idx="59">
                  <c:v>315</c:v>
                </c:pt>
                <c:pt idx="60">
                  <c:v>320</c:v>
                </c:pt>
                <c:pt idx="61">
                  <c:v>325</c:v>
                </c:pt>
                <c:pt idx="62">
                  <c:v>330</c:v>
                </c:pt>
                <c:pt idx="63">
                  <c:v>335</c:v>
                </c:pt>
                <c:pt idx="64">
                  <c:v>340</c:v>
                </c:pt>
                <c:pt idx="65">
                  <c:v>345</c:v>
                </c:pt>
                <c:pt idx="66">
                  <c:v>350</c:v>
                </c:pt>
                <c:pt idx="67">
                  <c:v>355</c:v>
                </c:pt>
                <c:pt idx="68">
                  <c:v>360</c:v>
                </c:pt>
                <c:pt idx="69">
                  <c:v>365</c:v>
                </c:pt>
                <c:pt idx="70">
                  <c:v>367.5</c:v>
                </c:pt>
                <c:pt idx="71">
                  <c:v>370</c:v>
                </c:pt>
                <c:pt idx="72">
                  <c:v>372.5</c:v>
                </c:pt>
                <c:pt idx="73">
                  <c:v>373.976</c:v>
                </c:pt>
              </c:numCache>
            </c:numRef>
          </c:xVal>
          <c:yVal>
            <c:numRef>
              <c:f>'Specific Enthalpy'!$J$5:$J$78</c:f>
              <c:numCache>
                <c:formatCode>General</c:formatCode>
                <c:ptCount val="74"/>
                <c:pt idx="0">
                  <c:v>2500.5</c:v>
                </c:pt>
                <c:pt idx="1">
                  <c:v>2488.6799999999998</c:v>
                </c:pt>
                <c:pt idx="2">
                  <c:v>2476.9100000000003</c:v>
                </c:pt>
                <c:pt idx="3">
                  <c:v>2465.08</c:v>
                </c:pt>
                <c:pt idx="4">
                  <c:v>2453.3599999999997</c:v>
                </c:pt>
                <c:pt idx="5">
                  <c:v>2441.5500000000002</c:v>
                </c:pt>
                <c:pt idx="6">
                  <c:v>2429.63</c:v>
                </c:pt>
                <c:pt idx="7">
                  <c:v>2417.81</c:v>
                </c:pt>
                <c:pt idx="8">
                  <c:v>2405.9</c:v>
                </c:pt>
                <c:pt idx="9">
                  <c:v>2393.88</c:v>
                </c:pt>
                <c:pt idx="10">
                  <c:v>2381.87</c:v>
                </c:pt>
                <c:pt idx="11">
                  <c:v>2369.7600000000002</c:v>
                </c:pt>
                <c:pt idx="12">
                  <c:v>2357.65</c:v>
                </c:pt>
                <c:pt idx="13">
                  <c:v>2345.42</c:v>
                </c:pt>
                <c:pt idx="14">
                  <c:v>2333.09</c:v>
                </c:pt>
                <c:pt idx="15">
                  <c:v>2320.64</c:v>
                </c:pt>
                <c:pt idx="16">
                  <c:v>2308.17</c:v>
                </c:pt>
                <c:pt idx="17">
                  <c:v>2295.48</c:v>
                </c:pt>
                <c:pt idx="18">
                  <c:v>2282.67</c:v>
                </c:pt>
                <c:pt idx="19">
                  <c:v>2269.7199999999998</c:v>
                </c:pt>
                <c:pt idx="20">
                  <c:v>2256.64</c:v>
                </c:pt>
                <c:pt idx="21">
                  <c:v>2243.42</c:v>
                </c:pt>
                <c:pt idx="22">
                  <c:v>2229.96</c:v>
                </c:pt>
                <c:pt idx="23">
                  <c:v>2216.2600000000002</c:v>
                </c:pt>
                <c:pt idx="24">
                  <c:v>2202.42</c:v>
                </c:pt>
                <c:pt idx="25">
                  <c:v>2188.33</c:v>
                </c:pt>
                <c:pt idx="26">
                  <c:v>2173.9900000000002</c:v>
                </c:pt>
                <c:pt idx="27">
                  <c:v>2159.3999999999996</c:v>
                </c:pt>
                <c:pt idx="28">
                  <c:v>2144.5600000000004</c:v>
                </c:pt>
                <c:pt idx="29">
                  <c:v>2129.4499999999998</c:v>
                </c:pt>
                <c:pt idx="30">
                  <c:v>2114.08</c:v>
                </c:pt>
                <c:pt idx="31">
                  <c:v>2098.3500000000004</c:v>
                </c:pt>
                <c:pt idx="32">
                  <c:v>2082.35</c:v>
                </c:pt>
                <c:pt idx="33">
                  <c:v>2065.8700000000003</c:v>
                </c:pt>
                <c:pt idx="34">
                  <c:v>2049.2200000000003</c:v>
                </c:pt>
                <c:pt idx="35">
                  <c:v>2032.0800000000002</c:v>
                </c:pt>
                <c:pt idx="36">
                  <c:v>2014.5500000000002</c:v>
                </c:pt>
                <c:pt idx="37">
                  <c:v>1996.63</c:v>
                </c:pt>
                <c:pt idx="38">
                  <c:v>1978.2000000000003</c:v>
                </c:pt>
                <c:pt idx="39">
                  <c:v>1959.4700000000003</c:v>
                </c:pt>
                <c:pt idx="40">
                  <c:v>1857.7900000000002</c:v>
                </c:pt>
                <c:pt idx="41">
                  <c:v>1835.73</c:v>
                </c:pt>
                <c:pt idx="42">
                  <c:v>1813.1</c:v>
                </c:pt>
                <c:pt idx="43">
                  <c:v>1789.7800000000002</c:v>
                </c:pt>
                <c:pt idx="44">
                  <c:v>1765.76</c:v>
                </c:pt>
                <c:pt idx="45">
                  <c:v>1740.9399999999998</c:v>
                </c:pt>
                <c:pt idx="46">
                  <c:v>1715.3799999999999</c:v>
                </c:pt>
                <c:pt idx="47">
                  <c:v>1689.0800000000002</c:v>
                </c:pt>
                <c:pt idx="48">
                  <c:v>1661.8199999999997</c:v>
                </c:pt>
                <c:pt idx="49">
                  <c:v>1633.68</c:v>
                </c:pt>
                <c:pt idx="50">
                  <c:v>1604.53</c:v>
                </c:pt>
                <c:pt idx="51">
                  <c:v>1574.35</c:v>
                </c:pt>
                <c:pt idx="52">
                  <c:v>1543.12</c:v>
                </c:pt>
                <c:pt idx="53">
                  <c:v>1510.6</c:v>
                </c:pt>
                <c:pt idx="54">
                  <c:v>1476.76</c:v>
                </c:pt>
                <c:pt idx="55">
                  <c:v>1441.4600000000003</c:v>
                </c:pt>
                <c:pt idx="56">
                  <c:v>1404.6499999999999</c:v>
                </c:pt>
                <c:pt idx="57">
                  <c:v>1366.17</c:v>
                </c:pt>
                <c:pt idx="58">
                  <c:v>1325.77</c:v>
                </c:pt>
                <c:pt idx="59">
                  <c:v>1283.3599999999999</c:v>
                </c:pt>
                <c:pt idx="60">
                  <c:v>1238.4499999999998</c:v>
                </c:pt>
                <c:pt idx="61">
                  <c:v>1190.92</c:v>
                </c:pt>
                <c:pt idx="62">
                  <c:v>1140.3000000000002</c:v>
                </c:pt>
                <c:pt idx="63">
                  <c:v>1086.0999999999999</c:v>
                </c:pt>
                <c:pt idx="64">
                  <c:v>1027.5000000000002</c:v>
                </c:pt>
                <c:pt idx="65">
                  <c:v>963.59999999999991</c:v>
                </c:pt>
                <c:pt idx="66">
                  <c:v>893.09999999999991</c:v>
                </c:pt>
                <c:pt idx="67">
                  <c:v>813.39999999999986</c:v>
                </c:pt>
                <c:pt idx="68">
                  <c:v>721</c:v>
                </c:pt>
                <c:pt idx="69">
                  <c:v>607.89999999999986</c:v>
                </c:pt>
                <c:pt idx="70">
                  <c:v>537.79999999999995</c:v>
                </c:pt>
                <c:pt idx="71">
                  <c:v>450.49999999999977</c:v>
                </c:pt>
                <c:pt idx="72">
                  <c:v>318.89999999999986</c:v>
                </c:pt>
                <c:pt idx="7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2C-4021-B72A-1C3FB022C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374848"/>
        <c:axId val="943328224"/>
      </c:scatterChart>
      <c:valAx>
        <c:axId val="94437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328224"/>
        <c:crosses val="autoZero"/>
        <c:crossBetween val="midCat"/>
      </c:valAx>
      <c:valAx>
        <c:axId val="9433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374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32292961841308299"/>
                  <c:y val="0.2788221213659064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Enthalpy'!$L$5:$L$75</c:f>
              <c:numCache>
                <c:formatCode>General</c:formatCode>
                <c:ptCount val="71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330</c:v>
                </c:pt>
                <c:pt idx="66">
                  <c:v>340</c:v>
                </c:pt>
                <c:pt idx="67">
                  <c:v>350</c:v>
                </c:pt>
                <c:pt idx="68">
                  <c:v>360</c:v>
                </c:pt>
                <c:pt idx="69">
                  <c:v>370</c:v>
                </c:pt>
                <c:pt idx="70">
                  <c:v>374.14</c:v>
                </c:pt>
              </c:numCache>
            </c:numRef>
          </c:xVal>
          <c:yVal>
            <c:numRef>
              <c:f>'Specific Enthalpy'!$M$5:$M$75</c:f>
              <c:numCache>
                <c:formatCode>General</c:formatCode>
                <c:ptCount val="71"/>
                <c:pt idx="0">
                  <c:v>0</c:v>
                </c:pt>
                <c:pt idx="1">
                  <c:v>20.98</c:v>
                </c:pt>
                <c:pt idx="2">
                  <c:v>41.99</c:v>
                </c:pt>
                <c:pt idx="3">
                  <c:v>62.98</c:v>
                </c:pt>
                <c:pt idx="4">
                  <c:v>83.94</c:v>
                </c:pt>
                <c:pt idx="5">
                  <c:v>104.87</c:v>
                </c:pt>
                <c:pt idx="6">
                  <c:v>125.77</c:v>
                </c:pt>
                <c:pt idx="7">
                  <c:v>146.66</c:v>
                </c:pt>
                <c:pt idx="8">
                  <c:v>167.54</c:v>
                </c:pt>
                <c:pt idx="9">
                  <c:v>188.42</c:v>
                </c:pt>
                <c:pt idx="10">
                  <c:v>209.31</c:v>
                </c:pt>
                <c:pt idx="11">
                  <c:v>230.2</c:v>
                </c:pt>
                <c:pt idx="12">
                  <c:v>251.11</c:v>
                </c:pt>
                <c:pt idx="13">
                  <c:v>272.02999999999997</c:v>
                </c:pt>
                <c:pt idx="14">
                  <c:v>292.95999999999998</c:v>
                </c:pt>
                <c:pt idx="15">
                  <c:v>313.10000000000002</c:v>
                </c:pt>
                <c:pt idx="16">
                  <c:v>334.88</c:v>
                </c:pt>
                <c:pt idx="17">
                  <c:v>355.88</c:v>
                </c:pt>
                <c:pt idx="18">
                  <c:v>376.9</c:v>
                </c:pt>
                <c:pt idx="19">
                  <c:v>397.94</c:v>
                </c:pt>
                <c:pt idx="20">
                  <c:v>419.02</c:v>
                </c:pt>
                <c:pt idx="21">
                  <c:v>440.13</c:v>
                </c:pt>
                <c:pt idx="22">
                  <c:v>461.27</c:v>
                </c:pt>
                <c:pt idx="23">
                  <c:v>482.46</c:v>
                </c:pt>
                <c:pt idx="24">
                  <c:v>503.69</c:v>
                </c:pt>
                <c:pt idx="25">
                  <c:v>524.96</c:v>
                </c:pt>
                <c:pt idx="26">
                  <c:v>546.29</c:v>
                </c:pt>
                <c:pt idx="27">
                  <c:v>567.66999999999996</c:v>
                </c:pt>
                <c:pt idx="28">
                  <c:v>589.11</c:v>
                </c:pt>
                <c:pt idx="29">
                  <c:v>610.61</c:v>
                </c:pt>
                <c:pt idx="30">
                  <c:v>632.17999999999995</c:v>
                </c:pt>
                <c:pt idx="31">
                  <c:v>653.82000000000005</c:v>
                </c:pt>
                <c:pt idx="32">
                  <c:v>675.53</c:v>
                </c:pt>
                <c:pt idx="33">
                  <c:v>697.32</c:v>
                </c:pt>
                <c:pt idx="34">
                  <c:v>719.2</c:v>
                </c:pt>
                <c:pt idx="35">
                  <c:v>741.16</c:v>
                </c:pt>
                <c:pt idx="36">
                  <c:v>763.21</c:v>
                </c:pt>
                <c:pt idx="37">
                  <c:v>785.36</c:v>
                </c:pt>
                <c:pt idx="38">
                  <c:v>807.61</c:v>
                </c:pt>
                <c:pt idx="39">
                  <c:v>829.96</c:v>
                </c:pt>
                <c:pt idx="40">
                  <c:v>852.43</c:v>
                </c:pt>
                <c:pt idx="41">
                  <c:v>875.03</c:v>
                </c:pt>
                <c:pt idx="42">
                  <c:v>897.75</c:v>
                </c:pt>
                <c:pt idx="43">
                  <c:v>920.61</c:v>
                </c:pt>
                <c:pt idx="44">
                  <c:v>943.61</c:v>
                </c:pt>
                <c:pt idx="45">
                  <c:v>966.77</c:v>
                </c:pt>
                <c:pt idx="46">
                  <c:v>990.1</c:v>
                </c:pt>
                <c:pt idx="47">
                  <c:v>1013.61</c:v>
                </c:pt>
                <c:pt idx="48">
                  <c:v>1037.31</c:v>
                </c:pt>
                <c:pt idx="49">
                  <c:v>1061.21</c:v>
                </c:pt>
                <c:pt idx="50">
                  <c:v>1085.3399999999999</c:v>
                </c:pt>
                <c:pt idx="51">
                  <c:v>1109.72</c:v>
                </c:pt>
                <c:pt idx="52">
                  <c:v>1134.3499999999999</c:v>
                </c:pt>
                <c:pt idx="53">
                  <c:v>1159.27</c:v>
                </c:pt>
                <c:pt idx="54">
                  <c:v>1184.49</c:v>
                </c:pt>
                <c:pt idx="55">
                  <c:v>1210.05</c:v>
                </c:pt>
                <c:pt idx="56">
                  <c:v>1235.97</c:v>
                </c:pt>
                <c:pt idx="57">
                  <c:v>1262.29</c:v>
                </c:pt>
                <c:pt idx="58">
                  <c:v>1289.04</c:v>
                </c:pt>
                <c:pt idx="59">
                  <c:v>1316.27</c:v>
                </c:pt>
                <c:pt idx="60">
                  <c:v>1344.01</c:v>
                </c:pt>
                <c:pt idx="61">
                  <c:v>1372.33</c:v>
                </c:pt>
                <c:pt idx="62">
                  <c:v>1401.29</c:v>
                </c:pt>
                <c:pt idx="63">
                  <c:v>1430.97</c:v>
                </c:pt>
                <c:pt idx="64">
                  <c:v>1461.45</c:v>
                </c:pt>
                <c:pt idx="65">
                  <c:v>1525.29</c:v>
                </c:pt>
                <c:pt idx="66">
                  <c:v>1594.15</c:v>
                </c:pt>
                <c:pt idx="67">
                  <c:v>1670.54</c:v>
                </c:pt>
                <c:pt idx="68">
                  <c:v>1760.48</c:v>
                </c:pt>
                <c:pt idx="69">
                  <c:v>1890.37</c:v>
                </c:pt>
                <c:pt idx="70">
                  <c:v>2099.2600000000002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70-4136-9BFA-06D0D6D80391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0.14061845346254795"/>
                  <c:y val="-0.139930861704369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'Specific Enthalpy'!$L$5:$L$75</c:f>
              <c:numCache>
                <c:formatCode>General</c:formatCode>
                <c:ptCount val="71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330</c:v>
                </c:pt>
                <c:pt idx="66">
                  <c:v>340</c:v>
                </c:pt>
                <c:pt idx="67">
                  <c:v>350</c:v>
                </c:pt>
                <c:pt idx="68">
                  <c:v>360</c:v>
                </c:pt>
                <c:pt idx="69">
                  <c:v>370</c:v>
                </c:pt>
                <c:pt idx="70">
                  <c:v>374.14</c:v>
                </c:pt>
              </c:numCache>
            </c:numRef>
          </c:xVal>
          <c:yVal>
            <c:numRef>
              <c:f>'Specific Enthalpy'!$N$5:$N$75</c:f>
              <c:numCache>
                <c:formatCode>General</c:formatCode>
                <c:ptCount val="71"/>
                <c:pt idx="0">
                  <c:v>2501.3000000000002</c:v>
                </c:pt>
                <c:pt idx="1">
                  <c:v>2510.5</c:v>
                </c:pt>
                <c:pt idx="2">
                  <c:v>2519.6999999999998</c:v>
                </c:pt>
                <c:pt idx="3">
                  <c:v>2528.9</c:v>
                </c:pt>
                <c:pt idx="4">
                  <c:v>2538.1</c:v>
                </c:pt>
                <c:pt idx="5">
                  <c:v>2547.1999999999998</c:v>
                </c:pt>
                <c:pt idx="6">
                  <c:v>2556.1999999999998</c:v>
                </c:pt>
                <c:pt idx="7">
                  <c:v>2565.3000000000002</c:v>
                </c:pt>
                <c:pt idx="8">
                  <c:v>2574.3000000000002</c:v>
                </c:pt>
                <c:pt idx="9">
                  <c:v>2583.1999999999998</c:v>
                </c:pt>
                <c:pt idx="10">
                  <c:v>2592.1</c:v>
                </c:pt>
                <c:pt idx="11">
                  <c:v>2600.9</c:v>
                </c:pt>
                <c:pt idx="12">
                  <c:v>2609.6</c:v>
                </c:pt>
                <c:pt idx="13">
                  <c:v>2618.1999999999998</c:v>
                </c:pt>
                <c:pt idx="14">
                  <c:v>2626.8</c:v>
                </c:pt>
                <c:pt idx="15">
                  <c:v>2635.3</c:v>
                </c:pt>
                <c:pt idx="16">
                  <c:v>2643.7</c:v>
                </c:pt>
                <c:pt idx="17">
                  <c:v>2651.9</c:v>
                </c:pt>
                <c:pt idx="18">
                  <c:v>2660.1</c:v>
                </c:pt>
                <c:pt idx="19">
                  <c:v>2668.1</c:v>
                </c:pt>
                <c:pt idx="20">
                  <c:v>2676</c:v>
                </c:pt>
                <c:pt idx="21">
                  <c:v>2683.8</c:v>
                </c:pt>
                <c:pt idx="22">
                  <c:v>2691.5</c:v>
                </c:pt>
                <c:pt idx="23">
                  <c:v>2699</c:v>
                </c:pt>
                <c:pt idx="24">
                  <c:v>2706.3</c:v>
                </c:pt>
                <c:pt idx="25">
                  <c:v>2713.5</c:v>
                </c:pt>
                <c:pt idx="26">
                  <c:v>2720.5</c:v>
                </c:pt>
                <c:pt idx="27">
                  <c:v>2727.3</c:v>
                </c:pt>
                <c:pt idx="28">
                  <c:v>2733.9</c:v>
                </c:pt>
                <c:pt idx="29">
                  <c:v>2740.3</c:v>
                </c:pt>
                <c:pt idx="30">
                  <c:v>2746.4</c:v>
                </c:pt>
                <c:pt idx="31">
                  <c:v>2752.4</c:v>
                </c:pt>
                <c:pt idx="32">
                  <c:v>2758.1</c:v>
                </c:pt>
                <c:pt idx="33">
                  <c:v>2763.5</c:v>
                </c:pt>
                <c:pt idx="34">
                  <c:v>2768.7</c:v>
                </c:pt>
                <c:pt idx="35">
                  <c:v>2773.6</c:v>
                </c:pt>
                <c:pt idx="36">
                  <c:v>2778.2</c:v>
                </c:pt>
                <c:pt idx="37">
                  <c:v>2782.4</c:v>
                </c:pt>
                <c:pt idx="38">
                  <c:v>2786.4</c:v>
                </c:pt>
                <c:pt idx="39">
                  <c:v>2790</c:v>
                </c:pt>
                <c:pt idx="40">
                  <c:v>2793.2</c:v>
                </c:pt>
                <c:pt idx="41">
                  <c:v>2796</c:v>
                </c:pt>
                <c:pt idx="42">
                  <c:v>2798.5</c:v>
                </c:pt>
                <c:pt idx="43">
                  <c:v>2800.5</c:v>
                </c:pt>
                <c:pt idx="44">
                  <c:v>2802.1</c:v>
                </c:pt>
                <c:pt idx="45">
                  <c:v>2803.3</c:v>
                </c:pt>
                <c:pt idx="46">
                  <c:v>2803.9</c:v>
                </c:pt>
                <c:pt idx="47">
                  <c:v>2804.1</c:v>
                </c:pt>
                <c:pt idx="48">
                  <c:v>2803.8</c:v>
                </c:pt>
                <c:pt idx="49">
                  <c:v>2802.9</c:v>
                </c:pt>
                <c:pt idx="50">
                  <c:v>2801.5</c:v>
                </c:pt>
                <c:pt idx="51">
                  <c:v>2799.5</c:v>
                </c:pt>
                <c:pt idx="52">
                  <c:v>2796.9</c:v>
                </c:pt>
                <c:pt idx="53">
                  <c:v>2793.6</c:v>
                </c:pt>
                <c:pt idx="54">
                  <c:v>2789.7</c:v>
                </c:pt>
                <c:pt idx="55">
                  <c:v>2785</c:v>
                </c:pt>
                <c:pt idx="56">
                  <c:v>2779.5</c:v>
                </c:pt>
                <c:pt idx="57">
                  <c:v>2773.3</c:v>
                </c:pt>
                <c:pt idx="58">
                  <c:v>2766.1</c:v>
                </c:pt>
                <c:pt idx="59">
                  <c:v>2758</c:v>
                </c:pt>
                <c:pt idx="60">
                  <c:v>2748.9</c:v>
                </c:pt>
                <c:pt idx="61">
                  <c:v>2738.7</c:v>
                </c:pt>
                <c:pt idx="62">
                  <c:v>2727.3</c:v>
                </c:pt>
                <c:pt idx="63">
                  <c:v>2714.4</c:v>
                </c:pt>
                <c:pt idx="64">
                  <c:v>2700.1</c:v>
                </c:pt>
                <c:pt idx="65">
                  <c:v>2665.8</c:v>
                </c:pt>
                <c:pt idx="66">
                  <c:v>2622</c:v>
                </c:pt>
                <c:pt idx="67">
                  <c:v>2563.9</c:v>
                </c:pt>
                <c:pt idx="68">
                  <c:v>2481</c:v>
                </c:pt>
                <c:pt idx="69">
                  <c:v>2332.1</c:v>
                </c:pt>
                <c:pt idx="70">
                  <c:v>2099.3000000000002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70-4136-9BFA-06D0D6D80391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'Specific Enthalpy'!$L$5:$L$75</c:f>
              <c:numCache>
                <c:formatCode>General</c:formatCode>
                <c:ptCount val="71"/>
                <c:pt idx="0">
                  <c:v>0.01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330</c:v>
                </c:pt>
                <c:pt idx="66">
                  <c:v>340</c:v>
                </c:pt>
                <c:pt idx="67">
                  <c:v>350</c:v>
                </c:pt>
                <c:pt idx="68">
                  <c:v>360</c:v>
                </c:pt>
                <c:pt idx="69">
                  <c:v>370</c:v>
                </c:pt>
                <c:pt idx="70">
                  <c:v>374.14</c:v>
                </c:pt>
              </c:numCache>
            </c:numRef>
          </c:xVal>
          <c:yVal>
            <c:numRef>
              <c:f>'Specific Enthalpy'!$O$5:$O$75</c:f>
              <c:numCache>
                <c:formatCode>General</c:formatCode>
                <c:ptCount val="71"/>
                <c:pt idx="0">
                  <c:v>2501.3000000000002</c:v>
                </c:pt>
                <c:pt idx="1">
                  <c:v>2489.52</c:v>
                </c:pt>
                <c:pt idx="2">
                  <c:v>2477.71</c:v>
                </c:pt>
                <c:pt idx="3">
                  <c:v>2465.92</c:v>
                </c:pt>
                <c:pt idx="4">
                  <c:v>2454.16</c:v>
                </c:pt>
                <c:pt idx="5">
                  <c:v>2442.33</c:v>
                </c:pt>
                <c:pt idx="6">
                  <c:v>2430.4299999999998</c:v>
                </c:pt>
                <c:pt idx="7">
                  <c:v>2418.6400000000003</c:v>
                </c:pt>
                <c:pt idx="8">
                  <c:v>2406.7600000000002</c:v>
                </c:pt>
                <c:pt idx="9">
                  <c:v>2394.7799999999997</c:v>
                </c:pt>
                <c:pt idx="10">
                  <c:v>2382.79</c:v>
                </c:pt>
                <c:pt idx="11">
                  <c:v>2370.7000000000003</c:v>
                </c:pt>
                <c:pt idx="12">
                  <c:v>2358.4899999999998</c:v>
                </c:pt>
                <c:pt idx="13">
                  <c:v>2346.17</c:v>
                </c:pt>
                <c:pt idx="14">
                  <c:v>2333.84</c:v>
                </c:pt>
                <c:pt idx="15">
                  <c:v>2322.2000000000003</c:v>
                </c:pt>
                <c:pt idx="16">
                  <c:v>2308.8199999999997</c:v>
                </c:pt>
                <c:pt idx="17">
                  <c:v>2296.02</c:v>
                </c:pt>
                <c:pt idx="18">
                  <c:v>2283.1999999999998</c:v>
                </c:pt>
                <c:pt idx="19">
                  <c:v>2270.16</c:v>
                </c:pt>
                <c:pt idx="20">
                  <c:v>2256.98</c:v>
                </c:pt>
                <c:pt idx="21">
                  <c:v>2243.67</c:v>
                </c:pt>
                <c:pt idx="22">
                  <c:v>2230.23</c:v>
                </c:pt>
                <c:pt idx="23">
                  <c:v>2216.54</c:v>
                </c:pt>
                <c:pt idx="24">
                  <c:v>2202.61</c:v>
                </c:pt>
                <c:pt idx="25">
                  <c:v>2188.54</c:v>
                </c:pt>
                <c:pt idx="26">
                  <c:v>2174.21</c:v>
                </c:pt>
                <c:pt idx="27">
                  <c:v>2159.63</c:v>
                </c:pt>
                <c:pt idx="28">
                  <c:v>2144.79</c:v>
                </c:pt>
                <c:pt idx="29">
                  <c:v>2129.69</c:v>
                </c:pt>
                <c:pt idx="30">
                  <c:v>2114.2200000000003</c:v>
                </c:pt>
                <c:pt idx="31">
                  <c:v>2098.58</c:v>
                </c:pt>
                <c:pt idx="32">
                  <c:v>2082.5699999999997</c:v>
                </c:pt>
                <c:pt idx="33">
                  <c:v>2066.1799999999998</c:v>
                </c:pt>
                <c:pt idx="34">
                  <c:v>2049.5</c:v>
                </c:pt>
                <c:pt idx="35">
                  <c:v>2032.44</c:v>
                </c:pt>
                <c:pt idx="36">
                  <c:v>2014.9899999999998</c:v>
                </c:pt>
                <c:pt idx="37">
                  <c:v>1997.04</c:v>
                </c:pt>
                <c:pt idx="38">
                  <c:v>1978.79</c:v>
                </c:pt>
                <c:pt idx="39">
                  <c:v>1960.04</c:v>
                </c:pt>
                <c:pt idx="40">
                  <c:v>1940.77</c:v>
                </c:pt>
                <c:pt idx="41">
                  <c:v>1920.97</c:v>
                </c:pt>
                <c:pt idx="42">
                  <c:v>1900.75</c:v>
                </c:pt>
                <c:pt idx="43">
                  <c:v>1879.8899999999999</c:v>
                </c:pt>
                <c:pt idx="44">
                  <c:v>1858.4899999999998</c:v>
                </c:pt>
                <c:pt idx="45">
                  <c:v>1836.5300000000002</c:v>
                </c:pt>
                <c:pt idx="46">
                  <c:v>1813.8000000000002</c:v>
                </c:pt>
                <c:pt idx="47">
                  <c:v>1790.4899999999998</c:v>
                </c:pt>
                <c:pt idx="48">
                  <c:v>1766.4900000000002</c:v>
                </c:pt>
                <c:pt idx="49">
                  <c:v>1741.69</c:v>
                </c:pt>
                <c:pt idx="50">
                  <c:v>1716.16</c:v>
                </c:pt>
                <c:pt idx="51">
                  <c:v>1689.78</c:v>
                </c:pt>
                <c:pt idx="52">
                  <c:v>1662.5500000000002</c:v>
                </c:pt>
                <c:pt idx="53">
                  <c:v>1634.33</c:v>
                </c:pt>
                <c:pt idx="54">
                  <c:v>1605.2099999999998</c:v>
                </c:pt>
                <c:pt idx="55">
                  <c:v>1574.95</c:v>
                </c:pt>
                <c:pt idx="56">
                  <c:v>1543.53</c:v>
                </c:pt>
                <c:pt idx="57">
                  <c:v>1511.0100000000002</c:v>
                </c:pt>
                <c:pt idx="58">
                  <c:v>1477.06</c:v>
                </c:pt>
                <c:pt idx="59">
                  <c:v>1441.73</c:v>
                </c:pt>
                <c:pt idx="60">
                  <c:v>1404.89</c:v>
                </c:pt>
                <c:pt idx="61">
                  <c:v>1366.37</c:v>
                </c:pt>
                <c:pt idx="62">
                  <c:v>1326.0100000000002</c:v>
                </c:pt>
                <c:pt idx="63">
                  <c:v>1283.43</c:v>
                </c:pt>
                <c:pt idx="64">
                  <c:v>1238.6499999999999</c:v>
                </c:pt>
                <c:pt idx="65">
                  <c:v>1140.5100000000002</c:v>
                </c:pt>
                <c:pt idx="66">
                  <c:v>1027.8499999999999</c:v>
                </c:pt>
                <c:pt idx="67">
                  <c:v>893.36000000000013</c:v>
                </c:pt>
                <c:pt idx="68">
                  <c:v>720.52</c:v>
                </c:pt>
                <c:pt idx="69">
                  <c:v>441.73</c:v>
                </c:pt>
                <c:pt idx="70">
                  <c:v>3.999999999996362E-2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70-4136-9BFA-06D0D6D80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534504"/>
        <c:axId val="938540408"/>
      </c:scatterChart>
      <c:valAx>
        <c:axId val="938534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540408"/>
        <c:crosses val="autoZero"/>
        <c:crossBetween val="midCat"/>
      </c:valAx>
      <c:valAx>
        <c:axId val="938540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8534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4D359FE-5FA0-4BF2-9887-44C374F66CD7}">
  <sheetPr codeName="Chart4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D0F366B-0E95-4331-A045-3F7F7B48D106}">
  <sheetPr codeName="Chart5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E299909-7E0A-460B-BC8C-A004C951A67C}">
  <sheetPr codeName="Chart6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Radio" firstButton="1" fmlaLink="chkFlagUnits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Drop" dropStyle="combo" dx="16" fmlaLink="$CZ$31" fmlaRange="Model!$R$7:$R$13" noThreeD="1" sel="4" val="0"/>
</file>

<file path=xl/ctrlProps/ctrlProp8.xml><?xml version="1.0" encoding="utf-8"?>
<formControlPr xmlns="http://schemas.microsoft.com/office/spreadsheetml/2009/9/main" objectType="Scroll" dx="16" fmlaLink="Tair" horiz="1" max="50" min="5" page="5" val="40"/>
</file>

<file path=xl/ctrlProps/ctrlProp9.xml><?xml version="1.0" encoding="utf-8"?>
<formControlPr xmlns="http://schemas.microsoft.com/office/spreadsheetml/2009/9/main" objectType="Scroll" dx="16" fmlaLink="Model!$A$11" horiz="1" max="100" page="10" val="30"/>
</file>

<file path=xl/ctrlProps/ctrlProp10.xml><?xml version="1.0" encoding="utf-8"?>
<formControlPr xmlns="http://schemas.microsoft.com/office/spreadsheetml/2009/9/main" objectType="Scroll" dx="16" fmlaLink="uwind" horiz="1" max="15" page="2" val="2"/>
</file>

<file path=xl/ctrlProps/ctrlProp11.xml><?xml version="1.0" encoding="utf-8"?>
<formControlPr xmlns="http://schemas.microsoft.com/office/spreadsheetml/2009/9/main" objectType="Scroll" dx="16" fmlaLink="Pen" horiz="1" inc="100" max="6000" page="250" val="100"/>
</file>

<file path=xl/ctrlProps/ctrlProp12.xml><?xml version="1.0" encoding="utf-8"?>
<formControlPr xmlns="http://schemas.microsoft.com/office/spreadsheetml/2009/9/main" objectType="Scroll" dx="16" fmlaLink="COC" horiz="1" max="15" min="1" page="2" val="6"/>
</file>

<file path=xl/ctrlProps/ctrlProp13.xml><?xml version="1.0" encoding="utf-8"?>
<formControlPr xmlns="http://schemas.microsoft.com/office/spreadsheetml/2009/9/main" objectType="Scroll" dx="16" fmlaLink="Tsw" horiz="1" max="50" min="5" page="5" val="2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16" fmlaLink="$DA$31" fmlaRange="Model!$R$20:$R$22" noThreeD="1" sel="1" val="0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croll" dx="16" fmlaLink="Wd" horiz="1" max="400" page="10" val="0"/>
</file>

<file path=xl/ctrlProps/ctrlProp20.xml><?xml version="1.0" encoding="utf-8"?>
<formControlPr xmlns="http://schemas.microsoft.com/office/spreadsheetml/2009/9/main" objectType="Scroll" dx="16" fmlaLink="Pen" horiz="1" inc="50" max="5000" min="10" page="500" val="10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7.jpeg"/><Relationship Id="rId7" Type="http://schemas.openxmlformats.org/officeDocument/2006/relationships/image" Target="../media/image10.emf"/><Relationship Id="rId2" Type="http://schemas.openxmlformats.org/officeDocument/2006/relationships/image" Target="../media/image6.jpeg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chart" Target="../charts/chart1.xml"/><Relationship Id="rId10" Type="http://schemas.openxmlformats.org/officeDocument/2006/relationships/image" Target="../media/image13.png"/><Relationship Id="rId4" Type="http://schemas.openxmlformats.org/officeDocument/2006/relationships/image" Target="../media/image8.png"/><Relationship Id="rId9" Type="http://schemas.openxmlformats.org/officeDocument/2006/relationships/image" Target="../media/image12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83391</xdr:rowOff>
    </xdr:from>
    <xdr:to>
      <xdr:col>21</xdr:col>
      <xdr:colOff>128530</xdr:colOff>
      <xdr:row>22</xdr:row>
      <xdr:rowOff>13351</xdr:rowOff>
    </xdr:to>
    <xdr:pic>
      <xdr:nvPicPr>
        <xdr:cNvPr id="21" name="Picture 20" descr="http://inis.iaea.org/search/img/search-home-bg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 bwMode="auto">
        <a:xfrm>
          <a:off x="95250" y="83391"/>
          <a:ext cx="11215630" cy="4025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114300</xdr:colOff>
      <xdr:row>3</xdr:row>
      <xdr:rowOff>57150</xdr:rowOff>
    </xdr:from>
    <xdr:to>
      <xdr:col>20</xdr:col>
      <xdr:colOff>590550</xdr:colOff>
      <xdr:row>12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553200" y="533400"/>
          <a:ext cx="4562475" cy="167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28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WAMP</a:t>
          </a:r>
          <a:endParaRPr lang="en-GB" sz="2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  <a:p>
          <a:pPr algn="r"/>
          <a:r>
            <a:rPr lang="en-GB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Water Management</a:t>
          </a:r>
          <a:r>
            <a:rPr lang="en-GB" sz="1200" b="1" baseline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 </a:t>
          </a:r>
          <a:r>
            <a:rPr lang="en-GB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Program</a:t>
          </a:r>
        </a:p>
        <a:p>
          <a:pPr algn="r"/>
          <a:r>
            <a:rPr lang="en-GB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 Nuclear Power Plants</a:t>
          </a:r>
        </a:p>
        <a:p>
          <a:pPr algn="r"/>
          <a:endParaRPr lang="en-GB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  <a:p>
          <a:pPr algn="r"/>
          <a:r>
            <a:rPr lang="en-GB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Version 2.0b</a:t>
          </a:r>
        </a:p>
        <a:p>
          <a:pPr algn="r"/>
          <a:r>
            <a:rPr lang="en-GB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February </a:t>
          </a:r>
          <a:r>
            <a:rPr lang="en-GB" sz="1200" b="1" baseline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2018</a:t>
          </a:r>
          <a:endParaRPr lang="en-GB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0</xdr:colOff>
      <xdr:row>22</xdr:row>
      <xdr:rowOff>19050</xdr:rowOff>
    </xdr:from>
    <xdr:to>
      <xdr:col>22</xdr:col>
      <xdr:colOff>0</xdr:colOff>
      <xdr:row>23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250" y="4114800"/>
          <a:ext cx="11229975" cy="171450"/>
        </a:xfrm>
        <a:prstGeom prst="rect">
          <a:avLst/>
        </a:prstGeom>
        <a:solidFill>
          <a:srgbClr val="265C9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400050</xdr:colOff>
      <xdr:row>33</xdr:row>
      <xdr:rowOff>38100</xdr:rowOff>
    </xdr:from>
    <xdr:to>
      <xdr:col>9</xdr:col>
      <xdr:colOff>138825</xdr:colOff>
      <xdr:row>35</xdr:row>
      <xdr:rowOff>53100</xdr:rowOff>
    </xdr:to>
    <xdr:sp macro="" textlink="">
      <xdr:nvSpPr>
        <xdr:cNvPr id="9" name="STEP1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295400" y="6229350"/>
          <a:ext cx="396000" cy="396000"/>
        </a:xfrm>
        <a:prstGeom prst="ellipse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400050</xdr:colOff>
      <xdr:row>33</xdr:row>
      <xdr:rowOff>38100</xdr:rowOff>
    </xdr:from>
    <xdr:to>
      <xdr:col>9</xdr:col>
      <xdr:colOff>138825</xdr:colOff>
      <xdr:row>35</xdr:row>
      <xdr:rowOff>53100</xdr:rowOff>
    </xdr:to>
    <xdr:sp macro="" textlink="">
      <xdr:nvSpPr>
        <xdr:cNvPr id="10" name="STEP2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067175" y="6229350"/>
          <a:ext cx="396000" cy="396000"/>
        </a:xfrm>
        <a:prstGeom prst="ellipse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400050</xdr:colOff>
      <xdr:row>33</xdr:row>
      <xdr:rowOff>38100</xdr:rowOff>
    </xdr:from>
    <xdr:to>
      <xdr:col>14</xdr:col>
      <xdr:colOff>138825</xdr:colOff>
      <xdr:row>35</xdr:row>
      <xdr:rowOff>53100</xdr:rowOff>
    </xdr:to>
    <xdr:sp macro="" textlink="">
      <xdr:nvSpPr>
        <xdr:cNvPr id="11" name="STEP3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838950" y="6229350"/>
          <a:ext cx="396000" cy="396000"/>
        </a:xfrm>
        <a:prstGeom prst="ellipse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400050</xdr:colOff>
      <xdr:row>33</xdr:row>
      <xdr:rowOff>38100</xdr:rowOff>
    </xdr:from>
    <xdr:to>
      <xdr:col>19</xdr:col>
      <xdr:colOff>138825</xdr:colOff>
      <xdr:row>35</xdr:row>
      <xdr:rowOff>53100</xdr:rowOff>
    </xdr:to>
    <xdr:sp macro="" textlink="">
      <xdr:nvSpPr>
        <xdr:cNvPr id="12" name="STEP4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610725" y="6229350"/>
          <a:ext cx="396000" cy="396000"/>
        </a:xfrm>
        <a:prstGeom prst="ellipse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133350</xdr:colOff>
      <xdr:row>2</xdr:row>
      <xdr:rowOff>57150</xdr:rowOff>
    </xdr:from>
    <xdr:to>
      <xdr:col>3</xdr:col>
      <xdr:colOff>449098</xdr:colOff>
      <xdr:row>6</xdr:row>
      <xdr:rowOff>142266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342900"/>
          <a:ext cx="972973" cy="847116"/>
        </a:xfrm>
        <a:prstGeom prst="rect">
          <a:avLst/>
        </a:prstGeom>
      </xdr:spPr>
    </xdr:pic>
    <xdr:clientData/>
  </xdr:twoCellAnchor>
  <xdr:twoCellAnchor>
    <xdr:from>
      <xdr:col>3</xdr:col>
      <xdr:colOff>533399</xdr:colOff>
      <xdr:row>3</xdr:row>
      <xdr:rowOff>47625</xdr:rowOff>
    </xdr:from>
    <xdr:to>
      <xdr:col>5</xdr:col>
      <xdr:colOff>419100</xdr:colOff>
      <xdr:row>5</xdr:row>
      <xdr:rowOff>142875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428749" y="523875"/>
          <a:ext cx="1200151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24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IAEA</a:t>
          </a:r>
        </a:p>
      </xdr:txBody>
    </xdr:sp>
    <xdr:clientData/>
  </xdr:twoCellAnchor>
  <xdr:twoCellAnchor editAs="oneCell">
    <xdr:from>
      <xdr:col>1</xdr:col>
      <xdr:colOff>123825</xdr:colOff>
      <xdr:row>3</xdr:row>
      <xdr:rowOff>19050</xdr:rowOff>
    </xdr:from>
    <xdr:to>
      <xdr:col>13</xdr:col>
      <xdr:colOff>504825</xdr:colOff>
      <xdr:row>19</xdr:row>
      <xdr:rowOff>161925</xdr:rowOff>
    </xdr:to>
    <xdr:sp macro="" textlink="">
      <xdr:nvSpPr>
        <xdr:cNvPr id="20" name="AutoShape 24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219075" y="495300"/>
          <a:ext cx="6724650" cy="3190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29</xdr:row>
          <xdr:rowOff>95250</xdr:rowOff>
        </xdr:from>
        <xdr:to>
          <xdr:col>10</xdr:col>
          <xdr:colOff>295275</xdr:colOff>
          <xdr:row>32</xdr:row>
          <xdr:rowOff>142875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Define Power plant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29</xdr:row>
          <xdr:rowOff>95250</xdr:rowOff>
        </xdr:from>
        <xdr:to>
          <xdr:col>15</xdr:col>
          <xdr:colOff>314325</xdr:colOff>
          <xdr:row>32</xdr:row>
          <xdr:rowOff>142875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33</xdr:row>
          <xdr:rowOff>66675</xdr:rowOff>
        </xdr:from>
        <xdr:to>
          <xdr:col>10</xdr:col>
          <xdr:colOff>304800</xdr:colOff>
          <xdr:row>36</xdr:row>
          <xdr:rowOff>114300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cooling system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504825</xdr:colOff>
      <xdr:row>6</xdr:row>
      <xdr:rowOff>64341</xdr:rowOff>
    </xdr:from>
    <xdr:to>
      <xdr:col>11</xdr:col>
      <xdr:colOff>75643</xdr:colOff>
      <xdr:row>20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3206" t="-1" b="7531"/>
        <a:stretch/>
      </xdr:blipFill>
      <xdr:spPr>
        <a:xfrm>
          <a:off x="1400175" y="1112091"/>
          <a:ext cx="4314268" cy="27741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33</xdr:row>
          <xdr:rowOff>66675</xdr:rowOff>
        </xdr:from>
        <xdr:to>
          <xdr:col>15</xdr:col>
          <xdr:colOff>314325</xdr:colOff>
          <xdr:row>36</xdr:row>
          <xdr:rowOff>114300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Detailed Report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37</xdr:row>
      <xdr:rowOff>28575</xdr:rowOff>
    </xdr:from>
    <xdr:ext cx="7248203" cy="163956"/>
    <xdr:sp macro="" textlink="">
      <xdr:nvSpPr>
        <xdr:cNvPr id="17" name="Text Box 5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95250" y="6981825"/>
          <a:ext cx="7248203" cy="16395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chemeClr val="tx2">
                  <a:lumMod val="20000"/>
                  <a:lumOff val="80000"/>
                </a:schemeClr>
              </a:solidFill>
              <a:latin typeface="Arial"/>
              <a:cs typeface="Arial"/>
            </a:rPr>
            <a:t>Disclaimer:</a:t>
          </a:r>
          <a:r>
            <a:rPr lang="en-US" sz="900" b="0" i="0" u="none" strike="noStrike" baseline="0">
              <a:solidFill>
                <a:schemeClr val="tx2">
                  <a:lumMod val="20000"/>
                  <a:lumOff val="80000"/>
                </a:schemeClr>
              </a:solidFill>
              <a:latin typeface="Arial"/>
              <a:cs typeface="Arial"/>
            </a:rPr>
            <a:t> The International Atomic Energy Agency does not bear any responsibility for the accuracy of the results obtained using this code.</a:t>
          </a:r>
          <a:endParaRPr lang="en-US" baseline="0">
            <a:solidFill>
              <a:schemeClr val="tx2">
                <a:lumMod val="20000"/>
                <a:lumOff val="80000"/>
              </a:schemeClr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9526</xdr:colOff>
          <xdr:row>29</xdr:row>
          <xdr:rowOff>51082</xdr:rowOff>
        </xdr:from>
        <xdr:to>
          <xdr:col>68</xdr:col>
          <xdr:colOff>351</xdr:colOff>
          <xdr:row>45</xdr:row>
          <xdr:rowOff>32032</xdr:rowOff>
        </xdr:to>
        <xdr:pic>
          <xdr:nvPicPr>
            <xdr:cNvPr id="65" name="picReservoir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AA$134:$AS$146" spid="_x0000_s25486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r="4150"/>
            <a:stretch>
              <a:fillRect/>
            </a:stretch>
          </xdr:blipFill>
          <xdr:spPr bwMode="auto">
            <a:xfrm>
              <a:off x="2971801" y="4061107"/>
              <a:ext cx="6067775" cy="2114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absolute">
    <xdr:from>
      <xdr:col>1</xdr:col>
      <xdr:colOff>9525</xdr:colOff>
      <xdr:row>1</xdr:row>
      <xdr:rowOff>9525</xdr:rowOff>
    </xdr:from>
    <xdr:to>
      <xdr:col>89</xdr:col>
      <xdr:colOff>66391</xdr:colOff>
      <xdr:row>4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06680" y="106680"/>
          <a:ext cx="11307796" cy="525780"/>
          <a:chOff x="171450" y="161925"/>
          <a:chExt cx="11143966" cy="514350"/>
        </a:xfrm>
      </xdr:grpSpPr>
      <xdr:pic>
        <xdr:nvPicPr>
          <xdr:cNvPr id="3" name="Picture 2" descr="http://inis.iaea.org/search/img/search-home-bg.jpg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107"/>
          <a:stretch/>
        </xdr:blipFill>
        <xdr:spPr bwMode="auto">
          <a:xfrm>
            <a:off x="171450" y="161925"/>
            <a:ext cx="8953500" cy="514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4" name="Picture 3" descr="http://inis.iaea.org/search/img/search-home-bg.jpg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 bwMode="auto">
          <a:xfrm>
            <a:off x="9124950" y="161925"/>
            <a:ext cx="2190466" cy="504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8886825" y="171450"/>
            <a:ext cx="2400300" cy="50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6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WAMP</a:t>
            </a:r>
          </a:p>
          <a:p>
            <a:pPr algn="l"/>
            <a:r>
              <a:rPr lang="en-GB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Water Management Program</a:t>
            </a: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178" y="200025"/>
            <a:ext cx="476248" cy="414645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361950" y="228600"/>
            <a:ext cx="1438275" cy="3714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6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IAEA</a:t>
            </a:r>
            <a:endParaRPr lang="en-GB" sz="10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10</xdr:col>
      <xdr:colOff>19051</xdr:colOff>
      <xdr:row>44</xdr:row>
      <xdr:rowOff>19051</xdr:rowOff>
    </xdr:from>
    <xdr:to>
      <xdr:col>89</xdr:col>
      <xdr:colOff>28576</xdr:colOff>
      <xdr:row>51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</xdr:row>
          <xdr:rowOff>19050</xdr:rowOff>
        </xdr:from>
        <xdr:to>
          <xdr:col>7</xdr:col>
          <xdr:colOff>133350</xdr:colOff>
          <xdr:row>10</xdr:row>
          <xdr:rowOff>0</xdr:rowOff>
        </xdr:to>
        <xdr:sp macro="" textlink="">
          <xdr:nvSpPr>
            <xdr:cNvPr id="10242" name="Option 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B4B4B4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m3/s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8</xdr:row>
          <xdr:rowOff>19050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243" name="Option 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B4B4B4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m3/MWh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57150</xdr:colOff>
          <xdr:row>7</xdr:row>
          <xdr:rowOff>0</xdr:rowOff>
        </xdr:from>
        <xdr:to>
          <xdr:col>49</xdr:col>
          <xdr:colOff>19050</xdr:colOff>
          <xdr:row>10</xdr:row>
          <xdr:rowOff>0</xdr:rowOff>
        </xdr:to>
        <xdr:sp macro="" textlink="">
          <xdr:nvSpPr>
            <xdr:cNvPr id="10244" name="Drop Dow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39</xdr:row>
          <xdr:rowOff>19050</xdr:rowOff>
        </xdr:from>
        <xdr:to>
          <xdr:col>8</xdr:col>
          <xdr:colOff>161925</xdr:colOff>
          <xdr:row>40</xdr:row>
          <xdr:rowOff>47625</xdr:rowOff>
        </xdr:to>
        <xdr:sp macro="" textlink="">
          <xdr:nvSpPr>
            <xdr:cNvPr id="10245" name="Scroll Bar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41</xdr:row>
          <xdr:rowOff>9525</xdr:rowOff>
        </xdr:from>
        <xdr:to>
          <xdr:col>8</xdr:col>
          <xdr:colOff>161925</xdr:colOff>
          <xdr:row>42</xdr:row>
          <xdr:rowOff>38100</xdr:rowOff>
        </xdr:to>
        <xdr:sp macro="" textlink="">
          <xdr:nvSpPr>
            <xdr:cNvPr id="10246" name="Scroll Bar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1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45</xdr:row>
          <xdr:rowOff>0</xdr:rowOff>
        </xdr:from>
        <xdr:to>
          <xdr:col>8</xdr:col>
          <xdr:colOff>161925</xdr:colOff>
          <xdr:row>46</xdr:row>
          <xdr:rowOff>28575</xdr:rowOff>
        </xdr:to>
        <xdr:sp macro="" textlink="">
          <xdr:nvSpPr>
            <xdr:cNvPr id="10248" name="Scroll Bar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35</xdr:row>
          <xdr:rowOff>114300</xdr:rowOff>
        </xdr:from>
        <xdr:to>
          <xdr:col>8</xdr:col>
          <xdr:colOff>152400</xdr:colOff>
          <xdr:row>37</xdr:row>
          <xdr:rowOff>9525</xdr:rowOff>
        </xdr:to>
        <xdr:sp macro="" textlink="">
          <xdr:nvSpPr>
            <xdr:cNvPr id="10249" name="Scroll Bar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47</xdr:row>
          <xdr:rowOff>76200</xdr:rowOff>
        </xdr:from>
        <xdr:to>
          <xdr:col>8</xdr:col>
          <xdr:colOff>152400</xdr:colOff>
          <xdr:row>48</xdr:row>
          <xdr:rowOff>104775</xdr:rowOff>
        </xdr:to>
        <xdr:sp macro="" textlink="">
          <xdr:nvSpPr>
            <xdr:cNvPr id="10250" name="Scroll Bar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43</xdr:row>
          <xdr:rowOff>9525</xdr:rowOff>
        </xdr:from>
        <xdr:to>
          <xdr:col>8</xdr:col>
          <xdr:colOff>152400</xdr:colOff>
          <xdr:row>44</xdr:row>
          <xdr:rowOff>38100</xdr:rowOff>
        </xdr:to>
        <xdr:sp macro="" textlink="">
          <xdr:nvSpPr>
            <xdr:cNvPr id="10252" name="Scroll Bar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0</xdr:rowOff>
        </xdr:from>
        <xdr:to>
          <xdr:col>4</xdr:col>
          <xdr:colOff>200025</xdr:colOff>
          <xdr:row>4</xdr:row>
          <xdr:rowOff>180975</xdr:rowOff>
        </xdr:to>
        <xdr:sp macro="" textlink="">
          <xdr:nvSpPr>
            <xdr:cNvPr id="10400" name="Button 160" hidden="1">
              <a:extLst>
                <a:ext uri="{63B3BB69-23CF-44E3-9099-C40C66FF867C}">
                  <a14:compatExt spid="_x0000_s10400"/>
                </a:ext>
                <a:ext uri="{FF2B5EF4-FFF2-40B4-BE49-F238E27FC236}">
                  <a16:creationId xmlns:a16="http://schemas.microsoft.com/office/drawing/2014/main" id="{00000000-0008-0000-0100-0000A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22860" rIns="64008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Wingdings"/>
                </a:rPr>
                <a:t>ï </a:t>
              </a: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oneCellAnchor>
    <xdr:from>
      <xdr:col>39</xdr:col>
      <xdr:colOff>38100</xdr:colOff>
      <xdr:row>41</xdr:row>
      <xdr:rowOff>123825</xdr:rowOff>
    </xdr:from>
    <xdr:ext cx="216534" cy="264560"/>
    <xdr:sp macro="" textlink="$DA$28">
      <xdr:nvSpPr>
        <xdr:cNvPr id="341" name="TextBox 340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SpPr txBox="1"/>
      </xdr:nvSpPr>
      <xdr:spPr>
        <a:xfrm>
          <a:off x="6038850" y="5734050"/>
          <a:ext cx="2165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A12FFA40-5117-438B-9F24-FDD5A816A5E8}" type="TxLink">
            <a:rPr lang="en-US" sz="1100"/>
            <a:pPr/>
            <a:t> </a:t>
          </a:fld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12</xdr:row>
          <xdr:rowOff>34673</xdr:rowOff>
        </xdr:from>
        <xdr:to>
          <xdr:col>58</xdr:col>
          <xdr:colOff>71701</xdr:colOff>
          <xdr:row>35</xdr:row>
          <xdr:rowOff>28575</xdr:rowOff>
        </xdr:to>
        <xdr:pic>
          <xdr:nvPicPr>
            <xdr:cNvPr id="342" name="picWetCT">
              <a:extLst>
                <a:ext uri="{FF2B5EF4-FFF2-40B4-BE49-F238E27FC236}">
                  <a16:creationId xmlns:a16="http://schemas.microsoft.com/office/drawing/2014/main" id="{00000000-0008-0000-0100-0000560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F$79:$W$96" spid="_x0000_s25487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3048000" y="1777748"/>
              <a:ext cx="5015176" cy="3060952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12</xdr:row>
          <xdr:rowOff>9525</xdr:rowOff>
        </xdr:from>
        <xdr:to>
          <xdr:col>62</xdr:col>
          <xdr:colOff>57150</xdr:colOff>
          <xdr:row>31</xdr:row>
          <xdr:rowOff>131330</xdr:rowOff>
        </xdr:to>
        <xdr:pic>
          <xdr:nvPicPr>
            <xdr:cNvPr id="24" name="picOT" hidden="1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F$122:$X$136" spid="_x0000_s2548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2990850" y="1752600"/>
              <a:ext cx="5476875" cy="265545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47624</xdr:colOff>
          <xdr:row>12</xdr:row>
          <xdr:rowOff>76200</xdr:rowOff>
        </xdr:from>
        <xdr:to>
          <xdr:col>62</xdr:col>
          <xdr:colOff>28575</xdr:colOff>
          <xdr:row>34</xdr:row>
          <xdr:rowOff>61697</xdr:rowOff>
        </xdr:to>
        <xdr:pic>
          <xdr:nvPicPr>
            <xdr:cNvPr id="25" name="picCpond" hidden="1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F$106:$X$122" spid="_x0000_s25489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3124199" y="1819275"/>
              <a:ext cx="5314951" cy="291919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11</xdr:row>
          <xdr:rowOff>107228</xdr:rowOff>
        </xdr:from>
        <xdr:to>
          <xdr:col>64</xdr:col>
          <xdr:colOff>85725</xdr:colOff>
          <xdr:row>31</xdr:row>
          <xdr:rowOff>9524</xdr:rowOff>
        </xdr:to>
        <xdr:pic>
          <xdr:nvPicPr>
            <xdr:cNvPr id="23" name="picDryCT" hidden="1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F$139:$Z$153" spid="_x0000_s25490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r="2654"/>
            <a:stretch>
              <a:fillRect/>
            </a:stretch>
          </xdr:blipFill>
          <xdr:spPr bwMode="auto">
            <a:xfrm>
              <a:off x="3124200" y="1716953"/>
              <a:ext cx="5581650" cy="2569296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68</xdr:col>
          <xdr:colOff>0</xdr:colOff>
          <xdr:row>7</xdr:row>
          <xdr:rowOff>0</xdr:rowOff>
        </xdr:from>
        <xdr:to>
          <xdr:col>80</xdr:col>
          <xdr:colOff>0</xdr:colOff>
          <xdr:row>10</xdr:row>
          <xdr:rowOff>0</xdr:rowOff>
        </xdr:to>
        <xdr:sp macro="" textlink="">
          <xdr:nvSpPr>
            <xdr:cNvPr id="10842" name="cmbTreat" hidden="1">
              <a:extLst>
                <a:ext uri="{63B3BB69-23CF-44E3-9099-C40C66FF867C}">
                  <a14:compatExt spid="_x0000_s10842"/>
                </a:ext>
                <a:ext uri="{FF2B5EF4-FFF2-40B4-BE49-F238E27FC236}">
                  <a16:creationId xmlns:a16="http://schemas.microsoft.com/office/drawing/2014/main" id="{00000000-0008-0000-0100-00005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>
    <xdr:from>
      <xdr:col>61</xdr:col>
      <xdr:colOff>65485</xdr:colOff>
      <xdr:row>14</xdr:row>
      <xdr:rowOff>44054</xdr:rowOff>
    </xdr:from>
    <xdr:to>
      <xdr:col>74</xdr:col>
      <xdr:colOff>28581</xdr:colOff>
      <xdr:row>40</xdr:row>
      <xdr:rowOff>85728</xdr:rowOff>
    </xdr:to>
    <xdr:cxnSp macro="">
      <xdr:nvCxnSpPr>
        <xdr:cNvPr id="31" name="picArrTreat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 rot="5400000">
          <a:off x="7279484" y="3145630"/>
          <a:ext cx="3508774" cy="1325171"/>
        </a:xfrm>
        <a:prstGeom prst="bentConnector3">
          <a:avLst>
            <a:gd name="adj1" fmla="val 100259"/>
          </a:avLst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103308</xdr:colOff>
      <xdr:row>23</xdr:row>
      <xdr:rowOff>30774</xdr:rowOff>
    </xdr:from>
    <xdr:to>
      <xdr:col>78</xdr:col>
      <xdr:colOff>78581</xdr:colOff>
      <xdr:row>28</xdr:row>
      <xdr:rowOff>4764</xdr:rowOff>
    </xdr:to>
    <xdr:grpSp>
      <xdr:nvGrpSpPr>
        <xdr:cNvPr id="32" name="picCC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9371133" y="3324519"/>
          <a:ext cx="933488" cy="655980"/>
          <a:chOff x="9859290" y="14113486"/>
          <a:chExt cx="918248" cy="640740"/>
        </a:xfrm>
      </xdr:grpSpPr>
      <xdr:pic>
        <xdr:nvPicPr>
          <xdr:cNvPr id="33" name="picClarifier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l="59167" t="31984" r="23851" b="50834"/>
          <a:stretch/>
        </xdr:blipFill>
        <xdr:spPr>
          <a:xfrm>
            <a:off x="9872662" y="14116050"/>
            <a:ext cx="904876" cy="638176"/>
          </a:xfrm>
          <a:prstGeom prst="rect">
            <a:avLst/>
          </a:prstGeom>
        </xdr:spPr>
      </xdr:pic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 txBox="1"/>
        </xdr:nvSpPr>
        <xdr:spPr>
          <a:xfrm>
            <a:off x="9859290" y="14113486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Contact</a:t>
            </a:r>
            <a:r>
              <a:rPr lang="en-US" sz="800" baseline="0"/>
              <a:t> clarifier</a:t>
            </a:r>
            <a:endParaRPr lang="nl-NL" sz="800"/>
          </a:p>
        </xdr:txBody>
      </xdr:sp>
    </xdr:grpSp>
    <xdr:clientData/>
  </xdr:twoCellAnchor>
  <xdr:twoCellAnchor>
    <xdr:from>
      <xdr:col>70</xdr:col>
      <xdr:colOff>21432</xdr:colOff>
      <xdr:row>29</xdr:row>
      <xdr:rowOff>61363</xdr:rowOff>
    </xdr:from>
    <xdr:to>
      <xdr:col>78</xdr:col>
      <xdr:colOff>100013</xdr:colOff>
      <xdr:row>34</xdr:row>
      <xdr:rowOff>3810</xdr:rowOff>
    </xdr:to>
    <xdr:grpSp>
      <xdr:nvGrpSpPr>
        <xdr:cNvPr id="35" name="picGF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9397842" y="4179973"/>
          <a:ext cx="930116" cy="624437"/>
          <a:chOff x="9906001" y="15087051"/>
          <a:chExt cx="916781" cy="609197"/>
        </a:xfrm>
      </xdr:grpSpPr>
      <xdr:pic>
        <xdr:nvPicPr>
          <xdr:cNvPr id="36" name="picGravity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l="84908" t="34099" r="1865" b="49936"/>
          <a:stretch/>
        </xdr:blipFill>
        <xdr:spPr>
          <a:xfrm>
            <a:off x="9972675" y="15120938"/>
            <a:ext cx="704850" cy="575310"/>
          </a:xfrm>
          <a:prstGeom prst="rect">
            <a:avLst/>
          </a:prstGeom>
        </xdr:spPr>
      </xdr:pic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9906001" y="15087051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Gravity Filtration</a:t>
            </a:r>
            <a:endParaRPr lang="nl-NL" sz="800"/>
          </a:p>
        </xdr:txBody>
      </xdr:sp>
    </xdr:grpSp>
    <xdr:clientData/>
  </xdr:twoCellAnchor>
  <xdr:twoCellAnchor>
    <xdr:from>
      <xdr:col>69</xdr:col>
      <xdr:colOff>19050</xdr:colOff>
      <xdr:row>15</xdr:row>
      <xdr:rowOff>4030</xdr:rowOff>
    </xdr:from>
    <xdr:to>
      <xdr:col>79</xdr:col>
      <xdr:colOff>47625</xdr:colOff>
      <xdr:row>22</xdr:row>
      <xdr:rowOff>0</xdr:rowOff>
    </xdr:to>
    <xdr:grpSp>
      <xdr:nvGrpSpPr>
        <xdr:cNvPr id="43" name="picTF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pSpPr/>
      </xdr:nvGrpSpPr>
      <xdr:grpSpPr>
        <a:xfrm>
          <a:off x="9288780" y="2198590"/>
          <a:ext cx="1089660" cy="956090"/>
          <a:chOff x="9786938" y="12805630"/>
          <a:chExt cx="1076325" cy="929420"/>
        </a:xfrm>
      </xdr:grpSpPr>
      <xdr:pic>
        <xdr:nvPicPr>
          <xdr:cNvPr id="44" name="picTrickling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l="4111" t="10573" r="75690" b="66430"/>
          <a:stretch/>
        </xdr:blipFill>
        <xdr:spPr>
          <a:xfrm>
            <a:off x="9786938" y="12882563"/>
            <a:ext cx="1076325" cy="852487"/>
          </a:xfrm>
          <a:prstGeom prst="rect">
            <a:avLst/>
          </a:prstGeom>
        </xdr:spPr>
      </xdr:pic>
      <xdr:sp macro="" textlink="">
        <xdr:nvSpPr>
          <xdr:cNvPr id="45" name="TextBox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 txBox="1"/>
        </xdr:nvSpPr>
        <xdr:spPr>
          <a:xfrm>
            <a:off x="9926150" y="12805630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Trickling Filter</a:t>
            </a:r>
            <a:endParaRPr lang="nl-NL" sz="800"/>
          </a:p>
        </xdr:txBody>
      </xdr:sp>
    </xdr:grpSp>
    <xdr:clientData/>
  </xdr:twoCellAnchor>
  <xdr:twoCellAnchor>
    <xdr:from>
      <xdr:col>70</xdr:col>
      <xdr:colOff>33965</xdr:colOff>
      <xdr:row>35</xdr:row>
      <xdr:rowOff>7645</xdr:rowOff>
    </xdr:from>
    <xdr:to>
      <xdr:col>79</xdr:col>
      <xdr:colOff>7771</xdr:colOff>
      <xdr:row>38</xdr:row>
      <xdr:rowOff>122357</xdr:rowOff>
    </xdr:to>
    <xdr:grpSp>
      <xdr:nvGrpSpPr>
        <xdr:cNvPr id="46" name="picRO" hidden="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pSpPr/>
      </xdr:nvGrpSpPr>
      <xdr:grpSpPr>
        <a:xfrm>
          <a:off x="9406565" y="4943500"/>
          <a:ext cx="932021" cy="526192"/>
          <a:chOff x="11287752" y="14237995"/>
          <a:chExt cx="916781" cy="514762"/>
        </a:xfrm>
      </xdr:grpSpPr>
      <xdr:sp macro="" textlink="">
        <xdr:nvSpPr>
          <xdr:cNvPr id="47" name="Rectangle 46" hidden="1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11293536" y="14407264"/>
            <a:ext cx="822447" cy="345493"/>
          </a:xfrm>
          <a:prstGeom prst="rect">
            <a:avLst/>
          </a:prstGeom>
          <a:gradFill flip="none" rotWithShape="1">
            <a:gsLst>
              <a:gs pos="0">
                <a:schemeClr val="lt1">
                  <a:shade val="30000"/>
                  <a:satMod val="115000"/>
                </a:schemeClr>
              </a:gs>
              <a:gs pos="50000">
                <a:schemeClr val="lt1">
                  <a:shade val="67500"/>
                  <a:satMod val="115000"/>
                </a:schemeClr>
              </a:gs>
              <a:gs pos="100000">
                <a:schemeClr val="lt1">
                  <a:shade val="100000"/>
                  <a:satMod val="115000"/>
                </a:schemeClr>
              </a:gs>
            </a:gsLst>
            <a:lin ang="18900000" scaled="1"/>
            <a:tileRect/>
          </a:gradFill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cxnSp macro="">
        <xdr:nvCxnSpPr>
          <xdr:cNvPr id="48" name="Straight Connector 47" hidden="1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CxnSpPr/>
        </xdr:nvCxnSpPr>
        <xdr:spPr>
          <a:xfrm>
            <a:off x="11294019" y="14407816"/>
            <a:ext cx="820277" cy="34277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49" name="TextBox 48" hidden="1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 txBox="1"/>
        </xdr:nvSpPr>
        <xdr:spPr>
          <a:xfrm>
            <a:off x="11287752" y="14237995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Reverse Osmosis</a:t>
            </a:r>
            <a:endParaRPr lang="nl-NL" sz="8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57150</xdr:colOff>
          <xdr:row>6</xdr:row>
          <xdr:rowOff>104775</xdr:rowOff>
        </xdr:from>
        <xdr:to>
          <xdr:col>86</xdr:col>
          <xdr:colOff>85725</xdr:colOff>
          <xdr:row>10</xdr:row>
          <xdr:rowOff>0</xdr:rowOff>
        </xdr:to>
        <xdr:sp macro="" textlink="">
          <xdr:nvSpPr>
            <xdr:cNvPr id="11107" name="btnWaterQ" hidden="1">
              <a:extLst>
                <a:ext uri="{63B3BB69-23CF-44E3-9099-C40C66FF867C}">
                  <a14:compatExt spid="_x0000_s11107"/>
                </a:ext>
                <a:ext uri="{FF2B5EF4-FFF2-40B4-BE49-F238E27FC236}">
                  <a16:creationId xmlns:a16="http://schemas.microsoft.com/office/drawing/2014/main" id="{00000000-0008-0000-0100-0000632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Water Quality</a:t>
              </a:r>
            </a:p>
          </xdr:txBody>
        </xdr:sp>
        <xdr:clientData fPrintsWithSheet="0"/>
      </xdr:twoCellAnchor>
    </mc:Choice>
    <mc:Fallback/>
  </mc:AlternateContent>
  <xdr:twoCellAnchor>
    <xdr:from>
      <xdr:col>67</xdr:col>
      <xdr:colOff>33618</xdr:colOff>
      <xdr:row>9</xdr:row>
      <xdr:rowOff>67235</xdr:rowOff>
    </xdr:from>
    <xdr:to>
      <xdr:col>67</xdr:col>
      <xdr:colOff>33618</xdr:colOff>
      <xdr:row>36</xdr:row>
      <xdr:rowOff>67235</xdr:rowOff>
    </xdr:to>
    <xdr:cxnSp macro="">
      <xdr:nvCxnSpPr>
        <xdr:cNvPr id="10" name="linTreatment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 flipV="1">
          <a:off x="8785412" y="1423147"/>
          <a:ext cx="0" cy="36307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229755</xdr:colOff>
      <xdr:row>104</xdr:row>
      <xdr:rowOff>123724</xdr:rowOff>
    </xdr:from>
    <xdr:to>
      <xdr:col>9</xdr:col>
      <xdr:colOff>315589</xdr:colOff>
      <xdr:row>108</xdr:row>
      <xdr:rowOff>39057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300990</xdr:colOff>
          <xdr:row>1</xdr:row>
          <xdr:rowOff>34290</xdr:rowOff>
        </xdr:from>
        <xdr:to>
          <xdr:col>9</xdr:col>
          <xdr:colOff>495300</xdr:colOff>
          <xdr:row>4</xdr:row>
          <xdr:rowOff>118110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31749</xdr:colOff>
      <xdr:row>85</xdr:row>
      <xdr:rowOff>74085</xdr:rowOff>
    </xdr:from>
    <xdr:to>
      <xdr:col>4</xdr:col>
      <xdr:colOff>264582</xdr:colOff>
      <xdr:row>96</xdr:row>
      <xdr:rowOff>105835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169333</xdr:colOff>
      <xdr:row>79</xdr:row>
      <xdr:rowOff>59267</xdr:rowOff>
    </xdr:from>
    <xdr:to>
      <xdr:col>9</xdr:col>
      <xdr:colOff>116415</xdr:colOff>
      <xdr:row>82</xdr:row>
      <xdr:rowOff>100233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156210</xdr:colOff>
          <xdr:row>1</xdr:row>
          <xdr:rowOff>34290</xdr:rowOff>
        </xdr:from>
        <xdr:to>
          <xdr:col>7</xdr:col>
          <xdr:colOff>300990</xdr:colOff>
          <xdr:row>4</xdr:row>
          <xdr:rowOff>118110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476250</xdr:colOff>
      <xdr:row>86</xdr:row>
      <xdr:rowOff>10584</xdr:rowOff>
    </xdr:from>
    <xdr:ext cx="1640257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556000" y="14075834"/>
          <a:ext cx="16402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Condensing</a:t>
          </a:r>
          <a:r>
            <a:rPr lang="en-US" sz="1100" baseline="0"/>
            <a:t> Temperature</a:t>
          </a:r>
          <a:endParaRPr lang="en-US" sz="1100"/>
        </a:p>
      </xdr:txBody>
    </xdr:sp>
    <xdr:clientData/>
  </xdr:oneCellAnchor>
  <xdr:oneCellAnchor>
    <xdr:from>
      <xdr:col>4</xdr:col>
      <xdr:colOff>476250</xdr:colOff>
      <xdr:row>90</xdr:row>
      <xdr:rowOff>127000</xdr:rowOff>
    </xdr:from>
    <xdr:ext cx="1646413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3556000" y="14827250"/>
          <a:ext cx="164641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Cooling</a:t>
          </a:r>
          <a:r>
            <a:rPr lang="en-US" sz="1100" baseline="0"/>
            <a:t> System Approach</a:t>
          </a:r>
          <a:endParaRPr lang="en-US" sz="1100"/>
        </a:p>
      </xdr:txBody>
    </xdr:sp>
    <xdr:clientData/>
  </xdr:oneCellAnchor>
  <xdr:oneCellAnchor>
    <xdr:from>
      <xdr:col>4</xdr:col>
      <xdr:colOff>476250</xdr:colOff>
      <xdr:row>89</xdr:row>
      <xdr:rowOff>0</xdr:rowOff>
    </xdr:from>
    <xdr:ext cx="1446614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3556000" y="14541500"/>
          <a:ext cx="14466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Cooling</a:t>
          </a:r>
          <a:r>
            <a:rPr lang="en-US" sz="1100" baseline="0"/>
            <a:t> System Range</a:t>
          </a:r>
          <a:endParaRPr lang="en-US" sz="1100"/>
        </a:p>
      </xdr:txBody>
    </xdr:sp>
    <xdr:clientData/>
  </xdr:oneCellAnchor>
  <xdr:twoCellAnchor>
    <xdr:from>
      <xdr:col>4</xdr:col>
      <xdr:colOff>42333</xdr:colOff>
      <xdr:row>91</xdr:row>
      <xdr:rowOff>95250</xdr:rowOff>
    </xdr:from>
    <xdr:to>
      <xdr:col>4</xdr:col>
      <xdr:colOff>476250</xdr:colOff>
      <xdr:row>91</xdr:row>
      <xdr:rowOff>100530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H="1" flipV="1">
          <a:off x="3122083" y="14954250"/>
          <a:ext cx="433917" cy="528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201083</xdr:colOff>
      <xdr:row>87</xdr:row>
      <xdr:rowOff>47613</xdr:rowOff>
    </xdr:from>
    <xdr:to>
      <xdr:col>4</xdr:col>
      <xdr:colOff>518584</xdr:colOff>
      <xdr:row>87</xdr:row>
      <xdr:rowOff>47613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2328333" y="14271613"/>
          <a:ext cx="1270001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67733</xdr:colOff>
      <xdr:row>89</xdr:row>
      <xdr:rowOff>120650</xdr:rowOff>
    </xdr:from>
    <xdr:to>
      <xdr:col>4</xdr:col>
      <xdr:colOff>501650</xdr:colOff>
      <xdr:row>89</xdr:row>
      <xdr:rowOff>125930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H="1" flipV="1">
          <a:off x="3147483" y="14662150"/>
          <a:ext cx="433917" cy="528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365125</xdr:colOff>
      <xdr:row>7</xdr:row>
      <xdr:rowOff>30692</xdr:rowOff>
    </xdr:from>
    <xdr:to>
      <xdr:col>8</xdr:col>
      <xdr:colOff>349251</xdr:colOff>
      <xdr:row>15</xdr:row>
      <xdr:rowOff>116417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253999</xdr:colOff>
      <xdr:row>144</xdr:row>
      <xdr:rowOff>190499</xdr:rowOff>
    </xdr:from>
    <xdr:to>
      <xdr:col>9</xdr:col>
      <xdr:colOff>339833</xdr:colOff>
      <xdr:row>147</xdr:row>
      <xdr:rowOff>169332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114132</xdr:colOff>
      <xdr:row>128</xdr:row>
      <xdr:rowOff>142875</xdr:rowOff>
    </xdr:from>
    <xdr:to>
      <xdr:col>17</xdr:col>
      <xdr:colOff>213715</xdr:colOff>
      <xdr:row>131</xdr:row>
      <xdr:rowOff>21625</xdr:rowOff>
    </xdr:to>
    <xdr:sp macro="" textlink="">
      <xdr:nvSpPr>
        <xdr:cNvPr id="833" name="Freeform 11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SpPr>
          <a:spLocks/>
        </xdr:cNvSpPr>
      </xdr:nvSpPr>
      <xdr:spPr bwMode="auto">
        <a:xfrm rot="5400000">
          <a:off x="4627820" y="20813287"/>
          <a:ext cx="368607" cy="1699783"/>
        </a:xfrm>
        <a:custGeom>
          <a:avLst/>
          <a:gdLst>
            <a:gd name="T0" fmla="*/ 0 w 64"/>
            <a:gd name="T1" fmla="*/ 2 h 144"/>
            <a:gd name="T2" fmla="*/ 2 w 64"/>
            <a:gd name="T3" fmla="*/ 141 h 144"/>
            <a:gd name="T4" fmla="*/ 18 w 64"/>
            <a:gd name="T5" fmla="*/ 114 h 144"/>
            <a:gd name="T6" fmla="*/ 34 w 64"/>
            <a:gd name="T7" fmla="*/ 141 h 144"/>
            <a:gd name="T8" fmla="*/ 48 w 64"/>
            <a:gd name="T9" fmla="*/ 117 h 144"/>
            <a:gd name="T10" fmla="*/ 64 w 64"/>
            <a:gd name="T11" fmla="*/ 144 h 144"/>
            <a:gd name="T12" fmla="*/ 64 w 64"/>
            <a:gd name="T13" fmla="*/ 0 h 14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4"/>
            <a:gd name="T22" fmla="*/ 0 h 144"/>
            <a:gd name="T23" fmla="*/ 64 w 64"/>
            <a:gd name="T24" fmla="*/ 144 h 14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4" h="144">
              <a:moveTo>
                <a:pt x="0" y="2"/>
              </a:moveTo>
              <a:lnTo>
                <a:pt x="2" y="141"/>
              </a:lnTo>
              <a:lnTo>
                <a:pt x="18" y="114"/>
              </a:lnTo>
              <a:lnTo>
                <a:pt x="34" y="141"/>
              </a:lnTo>
              <a:lnTo>
                <a:pt x="48" y="117"/>
              </a:lnTo>
              <a:lnTo>
                <a:pt x="64" y="144"/>
              </a:lnTo>
              <a:lnTo>
                <a:pt x="64" y="0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10</xdr:col>
      <xdr:colOff>8283</xdr:colOff>
      <xdr:row>85</xdr:row>
      <xdr:rowOff>41417</xdr:rowOff>
    </xdr:from>
    <xdr:to>
      <xdr:col>17</xdr:col>
      <xdr:colOff>113561</xdr:colOff>
      <xdr:row>87</xdr:row>
      <xdr:rowOff>87179</xdr:rowOff>
    </xdr:to>
    <xdr:sp macro="" textlink="">
      <xdr:nvSpPr>
        <xdr:cNvPr id="141" name="Freeform 11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>
          <a:spLocks/>
        </xdr:cNvSpPr>
      </xdr:nvSpPr>
      <xdr:spPr bwMode="auto">
        <a:xfrm rot="5400000">
          <a:off x="4527214" y="13495746"/>
          <a:ext cx="377067" cy="1728670"/>
        </a:xfrm>
        <a:custGeom>
          <a:avLst/>
          <a:gdLst>
            <a:gd name="T0" fmla="*/ 0 w 64"/>
            <a:gd name="T1" fmla="*/ 2 h 144"/>
            <a:gd name="T2" fmla="*/ 2 w 64"/>
            <a:gd name="T3" fmla="*/ 141 h 144"/>
            <a:gd name="T4" fmla="*/ 18 w 64"/>
            <a:gd name="T5" fmla="*/ 114 h 144"/>
            <a:gd name="T6" fmla="*/ 34 w 64"/>
            <a:gd name="T7" fmla="*/ 141 h 144"/>
            <a:gd name="T8" fmla="*/ 48 w 64"/>
            <a:gd name="T9" fmla="*/ 117 h 144"/>
            <a:gd name="T10" fmla="*/ 64 w 64"/>
            <a:gd name="T11" fmla="*/ 144 h 144"/>
            <a:gd name="T12" fmla="*/ 64 w 64"/>
            <a:gd name="T13" fmla="*/ 0 h 14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4"/>
            <a:gd name="T22" fmla="*/ 0 h 144"/>
            <a:gd name="T23" fmla="*/ 64 w 64"/>
            <a:gd name="T24" fmla="*/ 144 h 14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4" h="144">
              <a:moveTo>
                <a:pt x="0" y="2"/>
              </a:moveTo>
              <a:lnTo>
                <a:pt x="2" y="141"/>
              </a:lnTo>
              <a:lnTo>
                <a:pt x="18" y="114"/>
              </a:lnTo>
              <a:lnTo>
                <a:pt x="34" y="141"/>
              </a:lnTo>
              <a:lnTo>
                <a:pt x="48" y="117"/>
              </a:lnTo>
              <a:lnTo>
                <a:pt x="64" y="144"/>
              </a:lnTo>
              <a:lnTo>
                <a:pt x="64" y="0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152400</xdr:colOff>
      <xdr:row>48</xdr:row>
      <xdr:rowOff>152400</xdr:rowOff>
    </xdr:from>
    <xdr:to>
      <xdr:col>9</xdr:col>
      <xdr:colOff>95248</xdr:colOff>
      <xdr:row>49</xdr:row>
      <xdr:rowOff>152400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GrpSpPr/>
      </xdr:nvGrpSpPr>
      <xdr:grpSpPr>
        <a:xfrm>
          <a:off x="2514600" y="7981950"/>
          <a:ext cx="1190623" cy="161925"/>
          <a:chOff x="9525000" y="8048625"/>
          <a:chExt cx="2838450" cy="304800"/>
        </a:xfrm>
      </xdr:grpSpPr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CxnSpPr/>
        </xdr:nvCxnSpPr>
        <xdr:spPr>
          <a:xfrm>
            <a:off x="9525000" y="80486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9525000" y="83534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323850</xdr:colOff>
      <xdr:row>43</xdr:row>
      <xdr:rowOff>76200</xdr:rowOff>
    </xdr:from>
    <xdr:to>
      <xdr:col>30</xdr:col>
      <xdr:colOff>95250</xdr:colOff>
      <xdr:row>68</xdr:row>
      <xdr:rowOff>66675</xdr:rowOff>
    </xdr:to>
    <xdr:sp macro="" textlink="">
      <xdr:nvSpPr>
        <xdr:cNvPr id="17" name="Freeform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333500" y="7038975"/>
          <a:ext cx="7362825" cy="4095750"/>
        </a:xfrm>
        <a:custGeom>
          <a:avLst/>
          <a:gdLst>
            <a:gd name="connsiteX0" fmla="*/ 5962650 w 5962650"/>
            <a:gd name="connsiteY0" fmla="*/ 0 h 4038600"/>
            <a:gd name="connsiteX1" fmla="*/ 5524500 w 5962650"/>
            <a:gd name="connsiteY1" fmla="*/ 1971675 h 4038600"/>
            <a:gd name="connsiteX2" fmla="*/ 4343400 w 5962650"/>
            <a:gd name="connsiteY2" fmla="*/ 2695575 h 4038600"/>
            <a:gd name="connsiteX3" fmla="*/ 3962400 w 5962650"/>
            <a:gd name="connsiteY3" fmla="*/ 3648075 h 4038600"/>
            <a:gd name="connsiteX4" fmla="*/ 2095500 w 5962650"/>
            <a:gd name="connsiteY4" fmla="*/ 3914775 h 4038600"/>
            <a:gd name="connsiteX5" fmla="*/ 0 w 5962650"/>
            <a:gd name="connsiteY5" fmla="*/ 4038600 h 403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5962650" h="4038600">
              <a:moveTo>
                <a:pt x="5962650" y="0"/>
              </a:moveTo>
              <a:cubicBezTo>
                <a:pt x="5878512" y="761206"/>
                <a:pt x="5794375" y="1522413"/>
                <a:pt x="5524500" y="1971675"/>
              </a:cubicBezTo>
              <a:cubicBezTo>
                <a:pt x="5254625" y="2420937"/>
                <a:pt x="4603750" y="2416175"/>
                <a:pt x="4343400" y="2695575"/>
              </a:cubicBezTo>
              <a:cubicBezTo>
                <a:pt x="4083050" y="2974975"/>
                <a:pt x="4337050" y="3444875"/>
                <a:pt x="3962400" y="3648075"/>
              </a:cubicBezTo>
              <a:cubicBezTo>
                <a:pt x="3587750" y="3851275"/>
                <a:pt x="2755900" y="3849688"/>
                <a:pt x="2095500" y="3914775"/>
              </a:cubicBezTo>
              <a:cubicBezTo>
                <a:pt x="1435100" y="3979862"/>
                <a:pt x="717550" y="4009231"/>
                <a:pt x="0" y="4038600"/>
              </a:cubicBezTo>
            </a:path>
          </a:pathLst>
        </a:custGeom>
        <a:solidFill>
          <a:schemeClr val="bg1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41</xdr:row>
      <xdr:rowOff>57150</xdr:rowOff>
    </xdr:from>
    <xdr:to>
      <xdr:col>29</xdr:col>
      <xdr:colOff>85725</xdr:colOff>
      <xdr:row>66</xdr:row>
      <xdr:rowOff>47625</xdr:rowOff>
    </xdr:to>
    <xdr:sp macro="" textlink="">
      <xdr:nvSpPr>
        <xdr:cNvPr id="37" name="Freeform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314450" y="6696075"/>
          <a:ext cx="7067550" cy="4038600"/>
        </a:xfrm>
        <a:custGeom>
          <a:avLst/>
          <a:gdLst>
            <a:gd name="connsiteX0" fmla="*/ 5962650 w 5962650"/>
            <a:gd name="connsiteY0" fmla="*/ 0 h 4038600"/>
            <a:gd name="connsiteX1" fmla="*/ 5524500 w 5962650"/>
            <a:gd name="connsiteY1" fmla="*/ 1971675 h 4038600"/>
            <a:gd name="connsiteX2" fmla="*/ 4343400 w 5962650"/>
            <a:gd name="connsiteY2" fmla="*/ 2695575 h 4038600"/>
            <a:gd name="connsiteX3" fmla="*/ 3962400 w 5962650"/>
            <a:gd name="connsiteY3" fmla="*/ 3648075 h 4038600"/>
            <a:gd name="connsiteX4" fmla="*/ 2095500 w 5962650"/>
            <a:gd name="connsiteY4" fmla="*/ 3914775 h 4038600"/>
            <a:gd name="connsiteX5" fmla="*/ 0 w 5962650"/>
            <a:gd name="connsiteY5" fmla="*/ 4038600 h 403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5962650" h="4038600">
              <a:moveTo>
                <a:pt x="5962650" y="0"/>
              </a:moveTo>
              <a:cubicBezTo>
                <a:pt x="5878512" y="761206"/>
                <a:pt x="5794375" y="1522413"/>
                <a:pt x="5524500" y="1971675"/>
              </a:cubicBezTo>
              <a:cubicBezTo>
                <a:pt x="5254625" y="2420937"/>
                <a:pt x="4603750" y="2416175"/>
                <a:pt x="4343400" y="2695575"/>
              </a:cubicBezTo>
              <a:cubicBezTo>
                <a:pt x="4083050" y="2974975"/>
                <a:pt x="4337050" y="3444875"/>
                <a:pt x="3962400" y="3648075"/>
              </a:cubicBezTo>
              <a:cubicBezTo>
                <a:pt x="3587750" y="3851275"/>
                <a:pt x="2755900" y="3849688"/>
                <a:pt x="2095500" y="3914775"/>
              </a:cubicBezTo>
              <a:cubicBezTo>
                <a:pt x="1435100" y="3979862"/>
                <a:pt x="717550" y="4009231"/>
                <a:pt x="0" y="4038600"/>
              </a:cubicBezTo>
            </a:path>
          </a:pathLst>
        </a:cu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47625</xdr:colOff>
      <xdr:row>7</xdr:row>
      <xdr:rowOff>123825</xdr:rowOff>
    </xdr:from>
    <xdr:to>
      <xdr:col>10</xdr:col>
      <xdr:colOff>0</xdr:colOff>
      <xdr:row>21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314324</xdr:colOff>
      <xdr:row>28</xdr:row>
      <xdr:rowOff>152400</xdr:rowOff>
    </xdr:from>
    <xdr:to>
      <xdr:col>18</xdr:col>
      <xdr:colOff>70401</xdr:colOff>
      <xdr:row>33</xdr:row>
      <xdr:rowOff>123828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3590924" y="4686300"/>
          <a:ext cx="2184952" cy="781053"/>
          <a:chOff x="1619249" y="4362450"/>
          <a:chExt cx="2181225" cy="781053"/>
        </a:xfrm>
      </xdr:grpSpPr>
      <xdr:sp macro="" textlink="">
        <xdr:nvSpPr>
          <xdr:cNvPr id="4" name="Oval 10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1619249" y="4362450"/>
            <a:ext cx="789206" cy="781053"/>
          </a:xfrm>
          <a:prstGeom prst="ellipse">
            <a:avLst/>
          </a:prstGeom>
          <a:gradFill rotWithShape="1">
            <a:gsLst>
              <a:gs pos="0">
                <a:srgbClr val="767676"/>
              </a:gs>
              <a:gs pos="50000">
                <a:srgbClr val="FFFFFF"/>
              </a:gs>
              <a:gs pos="100000">
                <a:srgbClr val="767676"/>
              </a:gs>
            </a:gsLst>
            <a:lin ang="0" scaled="1"/>
          </a:gra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Freeform 11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/>
          </xdr:cNvSpPr>
        </xdr:nvSpPr>
        <xdr:spPr bwMode="auto">
          <a:xfrm rot="5400000">
            <a:off x="2620468" y="3761611"/>
            <a:ext cx="369612" cy="1990401"/>
          </a:xfrm>
          <a:custGeom>
            <a:avLst/>
            <a:gdLst>
              <a:gd name="T0" fmla="*/ 0 w 64"/>
              <a:gd name="T1" fmla="*/ 2 h 144"/>
              <a:gd name="T2" fmla="*/ 2 w 64"/>
              <a:gd name="T3" fmla="*/ 141 h 144"/>
              <a:gd name="T4" fmla="*/ 18 w 64"/>
              <a:gd name="T5" fmla="*/ 114 h 144"/>
              <a:gd name="T6" fmla="*/ 34 w 64"/>
              <a:gd name="T7" fmla="*/ 141 h 144"/>
              <a:gd name="T8" fmla="*/ 48 w 64"/>
              <a:gd name="T9" fmla="*/ 117 h 144"/>
              <a:gd name="T10" fmla="*/ 64 w 64"/>
              <a:gd name="T11" fmla="*/ 144 h 144"/>
              <a:gd name="T12" fmla="*/ 64 w 64"/>
              <a:gd name="T13" fmla="*/ 0 h 14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64"/>
              <a:gd name="T22" fmla="*/ 0 h 144"/>
              <a:gd name="T23" fmla="*/ 64 w 64"/>
              <a:gd name="T24" fmla="*/ 144 h 14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64" h="144">
                <a:moveTo>
                  <a:pt x="0" y="2"/>
                </a:moveTo>
                <a:lnTo>
                  <a:pt x="2" y="141"/>
                </a:lnTo>
                <a:lnTo>
                  <a:pt x="18" y="114"/>
                </a:lnTo>
                <a:lnTo>
                  <a:pt x="34" y="141"/>
                </a:lnTo>
                <a:lnTo>
                  <a:pt x="48" y="117"/>
                </a:lnTo>
                <a:lnTo>
                  <a:pt x="64" y="144"/>
                </a:lnTo>
                <a:lnTo>
                  <a:pt x="64" y="0"/>
                </a:lnTo>
              </a:path>
            </a:pathLst>
          </a:custGeom>
          <a:noFill/>
          <a:ln w="9525">
            <a:solidFill>
              <a:srgbClr val="00008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10</xdr:col>
      <xdr:colOff>9525</xdr:colOff>
      <xdr:row>7</xdr:row>
      <xdr:rowOff>133350</xdr:rowOff>
    </xdr:from>
    <xdr:to>
      <xdr:col>22</xdr:col>
      <xdr:colOff>95250</xdr:colOff>
      <xdr:row>21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</xdr:col>
      <xdr:colOff>146952</xdr:colOff>
      <xdr:row>25</xdr:row>
      <xdr:rowOff>133350</xdr:rowOff>
    </xdr:from>
    <xdr:to>
      <xdr:col>10</xdr:col>
      <xdr:colOff>152400</xdr:colOff>
      <xdr:row>28</xdr:row>
      <xdr:rowOff>152400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>
          <a:endCxn id="4" idx="0"/>
        </xdr:cNvCxnSpPr>
      </xdr:nvCxnSpPr>
      <xdr:spPr>
        <a:xfrm flipH="1">
          <a:off x="3985527" y="4181475"/>
          <a:ext cx="5448" cy="504825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142875</xdr:colOff>
      <xdr:row>33</xdr:row>
      <xdr:rowOff>123828</xdr:rowOff>
    </xdr:from>
    <xdr:to>
      <xdr:col>10</xdr:col>
      <xdr:colOff>146952</xdr:colOff>
      <xdr:row>37</xdr:row>
      <xdr:rowOff>85725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>
          <a:stCxn id="4" idx="4"/>
        </xdr:cNvCxnSpPr>
      </xdr:nvCxnSpPr>
      <xdr:spPr>
        <a:xfrm flipH="1">
          <a:off x="3981450" y="5467353"/>
          <a:ext cx="4077" cy="609597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23</xdr:col>
      <xdr:colOff>8696</xdr:colOff>
      <xdr:row>28</xdr:row>
      <xdr:rowOff>152400</xdr:rowOff>
    </xdr:from>
    <xdr:to>
      <xdr:col>26</xdr:col>
      <xdr:colOff>83527</xdr:colOff>
      <xdr:row>33</xdr:row>
      <xdr:rowOff>123828</xdr:rowOff>
    </xdr:to>
    <xdr:sp macro="" textlink="">
      <xdr:nvSpPr>
        <xdr:cNvPr id="24" name="Oval 10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>
          <a:spLocks noChangeArrowheads="1"/>
        </xdr:cNvSpPr>
      </xdr:nvSpPr>
      <xdr:spPr bwMode="auto">
        <a:xfrm>
          <a:off x="6934199" y="4686300"/>
          <a:ext cx="789206" cy="781053"/>
        </a:xfrm>
        <a:prstGeom prst="ellipse">
          <a:avLst/>
        </a:prstGeom>
        <a:gradFill rotWithShape="1">
          <a:gsLst>
            <a:gs pos="0">
              <a:srgbClr val="767676"/>
            </a:gs>
            <a:gs pos="50000">
              <a:srgbClr val="FFFFFF"/>
            </a:gs>
            <a:gs pos="100000">
              <a:srgbClr val="767676"/>
            </a:gs>
          </a:gsLst>
          <a:lin ang="0" scaled="1"/>
        </a:gra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23</xdr:col>
      <xdr:colOff>201591</xdr:colOff>
      <xdr:row>30</xdr:row>
      <xdr:rowOff>38106</xdr:rowOff>
    </xdr:from>
    <xdr:to>
      <xdr:col>31</xdr:col>
      <xdr:colOff>8695</xdr:colOff>
      <xdr:row>32</xdr:row>
      <xdr:rowOff>83868</xdr:rowOff>
    </xdr:to>
    <xdr:sp macro="" textlink="">
      <xdr:nvSpPr>
        <xdr:cNvPr id="25" name="Freeform 11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>
          <a:spLocks/>
        </xdr:cNvSpPr>
      </xdr:nvSpPr>
      <xdr:spPr bwMode="auto">
        <a:xfrm rot="5400000">
          <a:off x="7797305" y="4223574"/>
          <a:ext cx="369612" cy="1714176"/>
        </a:xfrm>
        <a:custGeom>
          <a:avLst/>
          <a:gdLst>
            <a:gd name="T0" fmla="*/ 0 w 64"/>
            <a:gd name="T1" fmla="*/ 2 h 144"/>
            <a:gd name="T2" fmla="*/ 2 w 64"/>
            <a:gd name="T3" fmla="*/ 141 h 144"/>
            <a:gd name="T4" fmla="*/ 18 w 64"/>
            <a:gd name="T5" fmla="*/ 114 h 144"/>
            <a:gd name="T6" fmla="*/ 34 w 64"/>
            <a:gd name="T7" fmla="*/ 141 h 144"/>
            <a:gd name="T8" fmla="*/ 48 w 64"/>
            <a:gd name="T9" fmla="*/ 117 h 144"/>
            <a:gd name="T10" fmla="*/ 64 w 64"/>
            <a:gd name="T11" fmla="*/ 144 h 144"/>
            <a:gd name="T12" fmla="*/ 64 w 64"/>
            <a:gd name="T13" fmla="*/ 0 h 14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4"/>
            <a:gd name="T22" fmla="*/ 0 h 144"/>
            <a:gd name="T23" fmla="*/ 64 w 64"/>
            <a:gd name="T24" fmla="*/ 144 h 14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4" h="144">
              <a:moveTo>
                <a:pt x="0" y="2"/>
              </a:moveTo>
              <a:lnTo>
                <a:pt x="2" y="141"/>
              </a:lnTo>
              <a:lnTo>
                <a:pt x="18" y="114"/>
              </a:lnTo>
              <a:lnTo>
                <a:pt x="34" y="141"/>
              </a:lnTo>
              <a:lnTo>
                <a:pt x="48" y="117"/>
              </a:lnTo>
              <a:lnTo>
                <a:pt x="64" y="144"/>
              </a:lnTo>
              <a:lnTo>
                <a:pt x="64" y="0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24</xdr:col>
      <xdr:colOff>165174</xdr:colOff>
      <xdr:row>25</xdr:row>
      <xdr:rowOff>133350</xdr:rowOff>
    </xdr:from>
    <xdr:to>
      <xdr:col>24</xdr:col>
      <xdr:colOff>170622</xdr:colOff>
      <xdr:row>28</xdr:row>
      <xdr:rowOff>152400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>
          <a:endCxn id="24" idx="0"/>
        </xdr:cNvCxnSpPr>
      </xdr:nvCxnSpPr>
      <xdr:spPr>
        <a:xfrm flipH="1">
          <a:off x="7328802" y="4181475"/>
          <a:ext cx="5448" cy="504825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24</xdr:col>
      <xdr:colOff>161097</xdr:colOff>
      <xdr:row>33</xdr:row>
      <xdr:rowOff>123828</xdr:rowOff>
    </xdr:from>
    <xdr:to>
      <xdr:col>24</xdr:col>
      <xdr:colOff>165174</xdr:colOff>
      <xdr:row>37</xdr:row>
      <xdr:rowOff>85725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>
          <a:stCxn id="24" idx="4"/>
        </xdr:cNvCxnSpPr>
      </xdr:nvCxnSpPr>
      <xdr:spPr>
        <a:xfrm flipH="1">
          <a:off x="7324725" y="5467353"/>
          <a:ext cx="4077" cy="609597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161925</xdr:colOff>
      <xdr:row>88</xdr:row>
      <xdr:rowOff>76200</xdr:rowOff>
    </xdr:from>
    <xdr:to>
      <xdr:col>17</xdr:col>
      <xdr:colOff>161925</xdr:colOff>
      <xdr:row>91</xdr:row>
      <xdr:rowOff>9525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>
          <a:off x="8934450" y="5419725"/>
          <a:ext cx="0" cy="4191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137205</xdr:colOff>
      <xdr:row>88</xdr:row>
      <xdr:rowOff>57150</xdr:rowOff>
    </xdr:from>
    <xdr:to>
      <xdr:col>19</xdr:col>
      <xdr:colOff>137205</xdr:colOff>
      <xdr:row>90</xdr:row>
      <xdr:rowOff>165652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 flipV="1">
          <a:off x="6120096" y="14086681"/>
          <a:ext cx="0" cy="455768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124655</xdr:colOff>
      <xdr:row>86</xdr:row>
      <xdr:rowOff>94010</xdr:rowOff>
    </xdr:from>
    <xdr:to>
      <xdr:col>22</xdr:col>
      <xdr:colOff>116793</xdr:colOff>
      <xdr:row>87</xdr:row>
      <xdr:rowOff>74916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>
          <a:stCxn id="60" idx="2"/>
        </xdr:cNvCxnSpPr>
      </xdr:nvCxnSpPr>
      <xdr:spPr>
        <a:xfrm flipH="1" flipV="1">
          <a:off x="6270351" y="14389793"/>
          <a:ext cx="447681" cy="146558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104775</xdr:colOff>
      <xdr:row>79</xdr:row>
      <xdr:rowOff>19050</xdr:rowOff>
    </xdr:from>
    <xdr:to>
      <xdr:col>18</xdr:col>
      <xdr:colOff>104775</xdr:colOff>
      <xdr:row>81</xdr:row>
      <xdr:rowOff>123825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CxnSpPr/>
      </xdr:nvCxnSpPr>
      <xdr:spPr>
        <a:xfrm flipV="1">
          <a:off x="9115425" y="3905250"/>
          <a:ext cx="0" cy="4286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</xdr:row>
      <xdr:rowOff>133350</xdr:rowOff>
    </xdr:from>
    <xdr:to>
      <xdr:col>34</xdr:col>
      <xdr:colOff>0</xdr:colOff>
      <xdr:row>21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646871</xdr:colOff>
      <xdr:row>39</xdr:row>
      <xdr:rowOff>95250</xdr:rowOff>
    </xdr:from>
    <xdr:to>
      <xdr:col>31</xdr:col>
      <xdr:colOff>82826</xdr:colOff>
      <xdr:row>68</xdr:row>
      <xdr:rowOff>114300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646871" y="6555685"/>
          <a:ext cx="8256933" cy="4872658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63887</xdr:colOff>
      <xdr:row>42</xdr:row>
      <xdr:rowOff>5576</xdr:rowOff>
    </xdr:from>
    <xdr:to>
      <xdr:col>22</xdr:col>
      <xdr:colOff>285981</xdr:colOff>
      <xdr:row>52</xdr:row>
      <xdr:rowOff>119875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673862" y="6806426"/>
          <a:ext cx="3184369" cy="1733549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Nuclear Power Plant</a:t>
          </a:r>
        </a:p>
      </xdr:txBody>
    </xdr:sp>
    <xdr:clientData/>
  </xdr:twoCellAnchor>
  <xdr:twoCellAnchor>
    <xdr:from>
      <xdr:col>0</xdr:col>
      <xdr:colOff>514350</xdr:colOff>
      <xdr:row>72</xdr:row>
      <xdr:rowOff>114300</xdr:rowOff>
    </xdr:from>
    <xdr:to>
      <xdr:col>30</xdr:col>
      <xdr:colOff>190500</xdr:colOff>
      <xdr:row>101</xdr:row>
      <xdr:rowOff>133350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14350" y="11772900"/>
          <a:ext cx="8210550" cy="4714875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9</xdr:col>
      <xdr:colOff>60267</xdr:colOff>
      <xdr:row>45</xdr:row>
      <xdr:rowOff>90110</xdr:rowOff>
    </xdr:from>
    <xdr:to>
      <xdr:col>22</xdr:col>
      <xdr:colOff>222181</xdr:colOff>
      <xdr:row>50</xdr:row>
      <xdr:rowOff>7418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pSpPr/>
      </xdr:nvGrpSpPr>
      <xdr:grpSpPr>
        <a:xfrm>
          <a:off x="3670242" y="7376735"/>
          <a:ext cx="3190864" cy="784083"/>
          <a:chOff x="156249" y="4362450"/>
          <a:chExt cx="3195588" cy="781053"/>
        </a:xfrm>
      </xdr:grpSpPr>
      <xdr:sp macro="" textlink="">
        <xdr:nvSpPr>
          <xdr:cNvPr id="29" name="Oval 10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1619249" y="4362450"/>
            <a:ext cx="789206" cy="781053"/>
          </a:xfrm>
          <a:prstGeom prst="ellipse">
            <a:avLst/>
          </a:prstGeom>
          <a:gradFill rotWithShape="1">
            <a:gsLst>
              <a:gs pos="0">
                <a:srgbClr val="767676"/>
              </a:gs>
              <a:gs pos="50000">
                <a:srgbClr val="FFFFFF"/>
              </a:gs>
              <a:gs pos="100000">
                <a:srgbClr val="767676"/>
              </a:gs>
            </a:gsLst>
            <a:lin ang="0" scaled="1"/>
          </a:gra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2" name="Freeform 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/>
          </xdr:cNvSpPr>
        </xdr:nvSpPr>
        <xdr:spPr bwMode="auto">
          <a:xfrm rot="5400000">
            <a:off x="1550165" y="3178088"/>
            <a:ext cx="407756" cy="3195588"/>
          </a:xfrm>
          <a:custGeom>
            <a:avLst/>
            <a:gdLst>
              <a:gd name="T0" fmla="*/ 0 w 64"/>
              <a:gd name="T1" fmla="*/ 2 h 144"/>
              <a:gd name="T2" fmla="*/ 2 w 64"/>
              <a:gd name="T3" fmla="*/ 141 h 144"/>
              <a:gd name="T4" fmla="*/ 18 w 64"/>
              <a:gd name="T5" fmla="*/ 114 h 144"/>
              <a:gd name="T6" fmla="*/ 34 w 64"/>
              <a:gd name="T7" fmla="*/ 141 h 144"/>
              <a:gd name="T8" fmla="*/ 48 w 64"/>
              <a:gd name="T9" fmla="*/ 117 h 144"/>
              <a:gd name="T10" fmla="*/ 64 w 64"/>
              <a:gd name="T11" fmla="*/ 144 h 144"/>
              <a:gd name="T12" fmla="*/ 64 w 64"/>
              <a:gd name="T13" fmla="*/ 0 h 14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64"/>
              <a:gd name="T22" fmla="*/ 0 h 144"/>
              <a:gd name="T23" fmla="*/ 64 w 64"/>
              <a:gd name="T24" fmla="*/ 144 h 144"/>
              <a:gd name="connsiteX0" fmla="*/ 0 w 10258"/>
              <a:gd name="connsiteY0" fmla="*/ 0 h 19358"/>
              <a:gd name="connsiteX1" fmla="*/ 313 w 10258"/>
              <a:gd name="connsiteY1" fmla="*/ 9653 h 19358"/>
              <a:gd name="connsiteX2" fmla="*/ 2813 w 10258"/>
              <a:gd name="connsiteY2" fmla="*/ 7778 h 19358"/>
              <a:gd name="connsiteX3" fmla="*/ 5313 w 10258"/>
              <a:gd name="connsiteY3" fmla="*/ 9653 h 19358"/>
              <a:gd name="connsiteX4" fmla="*/ 7500 w 10258"/>
              <a:gd name="connsiteY4" fmla="*/ 7986 h 19358"/>
              <a:gd name="connsiteX5" fmla="*/ 10000 w 10258"/>
              <a:gd name="connsiteY5" fmla="*/ 9861 h 19358"/>
              <a:gd name="connsiteX6" fmla="*/ 10258 w 10258"/>
              <a:gd name="connsiteY6" fmla="*/ 18891 h 19358"/>
              <a:gd name="connsiteX0" fmla="*/ 0 w 10258"/>
              <a:gd name="connsiteY0" fmla="*/ 0 h 17003"/>
              <a:gd name="connsiteX1" fmla="*/ 313 w 10258"/>
              <a:gd name="connsiteY1" fmla="*/ 7298 h 17003"/>
              <a:gd name="connsiteX2" fmla="*/ 2813 w 10258"/>
              <a:gd name="connsiteY2" fmla="*/ 5423 h 17003"/>
              <a:gd name="connsiteX3" fmla="*/ 5313 w 10258"/>
              <a:gd name="connsiteY3" fmla="*/ 7298 h 17003"/>
              <a:gd name="connsiteX4" fmla="*/ 7500 w 10258"/>
              <a:gd name="connsiteY4" fmla="*/ 5631 h 17003"/>
              <a:gd name="connsiteX5" fmla="*/ 10000 w 10258"/>
              <a:gd name="connsiteY5" fmla="*/ 7506 h 17003"/>
              <a:gd name="connsiteX6" fmla="*/ 10258 w 10258"/>
              <a:gd name="connsiteY6" fmla="*/ 16536 h 17003"/>
              <a:gd name="connsiteX0" fmla="*/ 0 w 10258"/>
              <a:gd name="connsiteY0" fmla="*/ 0 h 17243"/>
              <a:gd name="connsiteX1" fmla="*/ 313 w 10258"/>
              <a:gd name="connsiteY1" fmla="*/ 7538 h 17243"/>
              <a:gd name="connsiteX2" fmla="*/ 2813 w 10258"/>
              <a:gd name="connsiteY2" fmla="*/ 5663 h 17243"/>
              <a:gd name="connsiteX3" fmla="*/ 5313 w 10258"/>
              <a:gd name="connsiteY3" fmla="*/ 7538 h 17243"/>
              <a:gd name="connsiteX4" fmla="*/ 7500 w 10258"/>
              <a:gd name="connsiteY4" fmla="*/ 5871 h 17243"/>
              <a:gd name="connsiteX5" fmla="*/ 10000 w 10258"/>
              <a:gd name="connsiteY5" fmla="*/ 7746 h 17243"/>
              <a:gd name="connsiteX6" fmla="*/ 10258 w 10258"/>
              <a:gd name="connsiteY6" fmla="*/ 16776 h 17243"/>
              <a:gd name="connsiteX0" fmla="*/ 0 w 10000"/>
              <a:gd name="connsiteY0" fmla="*/ 0 h 15767"/>
              <a:gd name="connsiteX1" fmla="*/ 313 w 10000"/>
              <a:gd name="connsiteY1" fmla="*/ 7538 h 15767"/>
              <a:gd name="connsiteX2" fmla="*/ 2813 w 10000"/>
              <a:gd name="connsiteY2" fmla="*/ 5663 h 15767"/>
              <a:gd name="connsiteX3" fmla="*/ 5313 w 10000"/>
              <a:gd name="connsiteY3" fmla="*/ 7538 h 15767"/>
              <a:gd name="connsiteX4" fmla="*/ 7500 w 10000"/>
              <a:gd name="connsiteY4" fmla="*/ 5871 h 15767"/>
              <a:gd name="connsiteX5" fmla="*/ 10000 w 10000"/>
              <a:gd name="connsiteY5" fmla="*/ 7746 h 15767"/>
              <a:gd name="connsiteX6" fmla="*/ 10000 w 10000"/>
              <a:gd name="connsiteY6" fmla="*/ 15767 h 15767"/>
              <a:gd name="connsiteX0" fmla="*/ 0 w 11032"/>
              <a:gd name="connsiteY0" fmla="*/ 0 h 16055"/>
              <a:gd name="connsiteX1" fmla="*/ 313 w 11032"/>
              <a:gd name="connsiteY1" fmla="*/ 7538 h 16055"/>
              <a:gd name="connsiteX2" fmla="*/ 2813 w 11032"/>
              <a:gd name="connsiteY2" fmla="*/ 5663 h 16055"/>
              <a:gd name="connsiteX3" fmla="*/ 5313 w 11032"/>
              <a:gd name="connsiteY3" fmla="*/ 7538 h 16055"/>
              <a:gd name="connsiteX4" fmla="*/ 7500 w 11032"/>
              <a:gd name="connsiteY4" fmla="*/ 5871 h 16055"/>
              <a:gd name="connsiteX5" fmla="*/ 10000 w 11032"/>
              <a:gd name="connsiteY5" fmla="*/ 7746 h 16055"/>
              <a:gd name="connsiteX6" fmla="*/ 11032 w 11032"/>
              <a:gd name="connsiteY6" fmla="*/ 16055 h 1605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1032" h="16055">
                <a:moveTo>
                  <a:pt x="0" y="0"/>
                </a:moveTo>
                <a:cubicBezTo>
                  <a:pt x="104" y="3218"/>
                  <a:pt x="209" y="4320"/>
                  <a:pt x="313" y="7538"/>
                </a:cubicBezTo>
                <a:lnTo>
                  <a:pt x="2813" y="5663"/>
                </a:lnTo>
                <a:lnTo>
                  <a:pt x="5313" y="7538"/>
                </a:lnTo>
                <a:lnTo>
                  <a:pt x="7500" y="5871"/>
                </a:lnTo>
                <a:lnTo>
                  <a:pt x="10000" y="7746"/>
                </a:lnTo>
                <a:lnTo>
                  <a:pt x="11032" y="16055"/>
                </a:lnTo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sp>
    </xdr:grpSp>
    <xdr:clientData/>
  </xdr:twoCellAnchor>
  <xdr:twoCellAnchor editAs="absolute">
    <xdr:from>
      <xdr:col>17</xdr:col>
      <xdr:colOff>76200</xdr:colOff>
      <xdr:row>42</xdr:row>
      <xdr:rowOff>66675</xdr:rowOff>
    </xdr:from>
    <xdr:to>
      <xdr:col>17</xdr:col>
      <xdr:colOff>81268</xdr:colOff>
      <xdr:row>45</xdr:row>
      <xdr:rowOff>90110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CxnSpPr>
          <a:endCxn id="29" idx="0"/>
        </xdr:cNvCxnSpPr>
      </xdr:nvCxnSpPr>
      <xdr:spPr>
        <a:xfrm>
          <a:off x="5514975" y="6867525"/>
          <a:ext cx="5068" cy="509210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73983</xdr:colOff>
      <xdr:row>50</xdr:row>
      <xdr:rowOff>7418</xdr:rowOff>
    </xdr:from>
    <xdr:to>
      <xdr:col>17</xdr:col>
      <xdr:colOff>74277</xdr:colOff>
      <xdr:row>51</xdr:row>
      <xdr:rowOff>99887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>
          <a:stCxn id="29" idx="4"/>
        </xdr:cNvCxnSpPr>
      </xdr:nvCxnSpPr>
      <xdr:spPr>
        <a:xfrm>
          <a:off x="5512758" y="8157090"/>
          <a:ext cx="294" cy="254395"/>
        </a:xfrm>
        <a:prstGeom prst="line">
          <a:avLst/>
        </a:prstGeom>
        <a:ln>
          <a:solidFill>
            <a:schemeClr val="accent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400050</xdr:colOff>
      <xdr:row>48</xdr:row>
      <xdr:rowOff>104775</xdr:rowOff>
    </xdr:from>
    <xdr:ext cx="941348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409700" y="7905750"/>
          <a:ext cx="9413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Cooling Pond</a:t>
          </a:r>
        </a:p>
      </xdr:txBody>
    </xdr:sp>
    <xdr:clientData/>
  </xdr:oneCellAnchor>
  <xdr:twoCellAnchor>
    <xdr:from>
      <xdr:col>22</xdr:col>
      <xdr:colOff>276226</xdr:colOff>
      <xdr:row>46</xdr:row>
      <xdr:rowOff>47625</xdr:rowOff>
    </xdr:from>
    <xdr:to>
      <xdr:col>29</xdr:col>
      <xdr:colOff>9525</xdr:colOff>
      <xdr:row>47</xdr:row>
      <xdr:rowOff>38100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GrpSpPr/>
      </xdr:nvGrpSpPr>
      <xdr:grpSpPr>
        <a:xfrm>
          <a:off x="6915151" y="7524750"/>
          <a:ext cx="1457324" cy="152400"/>
          <a:chOff x="9525000" y="8048625"/>
          <a:chExt cx="2838450" cy="304800"/>
        </a:xfrm>
      </xdr:grpSpPr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300-00002C000000}"/>
              </a:ext>
            </a:extLst>
          </xdr:cNvPr>
          <xdr:cNvCxnSpPr/>
        </xdr:nvCxnSpPr>
        <xdr:spPr>
          <a:xfrm>
            <a:off x="9525000" y="80486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CxnSpPr/>
        </xdr:nvCxnSpPr>
        <xdr:spPr>
          <a:xfrm>
            <a:off x="9525000" y="83534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123826</xdr:colOff>
      <xdr:row>63</xdr:row>
      <xdr:rowOff>9524</xdr:rowOff>
    </xdr:from>
    <xdr:to>
      <xdr:col>9</xdr:col>
      <xdr:colOff>66674</xdr:colOff>
      <xdr:row>64</xdr:row>
      <xdr:rowOff>9524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GrpSpPr/>
      </xdr:nvGrpSpPr>
      <xdr:grpSpPr>
        <a:xfrm rot="2456241">
          <a:off x="2486026" y="10267949"/>
          <a:ext cx="1190623" cy="161925"/>
          <a:chOff x="9525000" y="8048625"/>
          <a:chExt cx="2838450" cy="304800"/>
        </a:xfrm>
      </xdr:grpSpPr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CxnSpPr/>
        </xdr:nvCxnSpPr>
        <xdr:spPr>
          <a:xfrm>
            <a:off x="9525000" y="80486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CxnSpPr/>
        </xdr:nvCxnSpPr>
        <xdr:spPr>
          <a:xfrm>
            <a:off x="9525000" y="8353425"/>
            <a:ext cx="2838450" cy="0"/>
          </a:xfrm>
          <a:prstGeom prst="line">
            <a:avLst/>
          </a:prstGeom>
          <a:effectLst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361950</xdr:colOff>
      <xdr:row>46</xdr:row>
      <xdr:rowOff>9524</xdr:rowOff>
    </xdr:from>
    <xdr:to>
      <xdr:col>7</xdr:col>
      <xdr:colOff>0</xdr:colOff>
      <xdr:row>62</xdr:row>
      <xdr:rowOff>114299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 rot="19945262">
          <a:off x="1371600" y="7458074"/>
          <a:ext cx="1676400" cy="2695575"/>
        </a:xfrm>
        <a:prstGeom prst="ellipse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</xdr:col>
      <xdr:colOff>9525</xdr:colOff>
      <xdr:row>58</xdr:row>
      <xdr:rowOff>0</xdr:rowOff>
    </xdr:from>
    <xdr:ext cx="941348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 txBox="1"/>
      </xdr:nvSpPr>
      <xdr:spPr>
        <a:xfrm>
          <a:off x="1914525" y="9420225"/>
          <a:ext cx="9413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Cooling Pond</a:t>
          </a:r>
        </a:p>
      </xdr:txBody>
    </xdr:sp>
    <xdr:clientData/>
  </xdr:oneCellAnchor>
  <xdr:twoCellAnchor>
    <xdr:from>
      <xdr:col>23</xdr:col>
      <xdr:colOff>133350</xdr:colOff>
      <xdr:row>56</xdr:row>
      <xdr:rowOff>114300</xdr:rowOff>
    </xdr:from>
    <xdr:to>
      <xdr:col>25</xdr:col>
      <xdr:colOff>47625</xdr:colOff>
      <xdr:row>57</xdr:row>
      <xdr:rowOff>142875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/>
      </xdr:nvCxnSpPr>
      <xdr:spPr>
        <a:xfrm flipH="1">
          <a:off x="7000875" y="9210675"/>
          <a:ext cx="390525" cy="190500"/>
        </a:xfrm>
        <a:prstGeom prst="straightConnector1">
          <a:avLst/>
        </a:prstGeom>
        <a:ln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219077</xdr:colOff>
      <xdr:row>46</xdr:row>
      <xdr:rowOff>112620</xdr:rowOff>
    </xdr:from>
    <xdr:to>
      <xdr:col>26</xdr:col>
      <xdr:colOff>76200</xdr:colOff>
      <xdr:row>46</xdr:row>
      <xdr:rowOff>113980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 flipH="1" flipV="1">
          <a:off x="7278783" y="7362826"/>
          <a:ext cx="327770" cy="136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672353</xdr:colOff>
      <xdr:row>49</xdr:row>
      <xdr:rowOff>56029</xdr:rowOff>
    </xdr:from>
    <xdr:to>
      <xdr:col>8</xdr:col>
      <xdr:colOff>92446</xdr:colOff>
      <xdr:row>49</xdr:row>
      <xdr:rowOff>57389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 flipH="1" flipV="1">
          <a:off x="3036794" y="7776882"/>
          <a:ext cx="327770" cy="136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16565</xdr:colOff>
      <xdr:row>84</xdr:row>
      <xdr:rowOff>157372</xdr:rowOff>
    </xdr:from>
    <xdr:ext cx="745269" cy="561885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377108" y="14121850"/>
          <a:ext cx="745269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Condenser</a:t>
          </a:r>
        </a:p>
        <a:p>
          <a:r>
            <a:rPr lang="en-US" sz="1000"/>
            <a:t>Heat </a:t>
          </a:r>
          <a:br>
            <a:rPr lang="en-US" sz="1000"/>
          </a:br>
          <a:r>
            <a:rPr lang="en-US" sz="1000"/>
            <a:t>Rejected:</a:t>
          </a:r>
        </a:p>
      </xdr:txBody>
    </xdr:sp>
    <xdr:clientData/>
  </xdr:oneCellAnchor>
  <xdr:oneCellAnchor>
    <xdr:from>
      <xdr:col>21</xdr:col>
      <xdr:colOff>190501</xdr:colOff>
      <xdr:row>85</xdr:row>
      <xdr:rowOff>157370</xdr:rowOff>
    </xdr:from>
    <xdr:ext cx="332976" cy="248851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6551544" y="14287500"/>
          <a:ext cx="33297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Air</a:t>
          </a:r>
        </a:p>
      </xdr:txBody>
    </xdr:sp>
    <xdr:clientData/>
  </xdr:oneCellAnchor>
  <xdr:oneCellAnchor>
    <xdr:from>
      <xdr:col>18</xdr:col>
      <xdr:colOff>215348</xdr:colOff>
      <xdr:row>79</xdr:row>
      <xdr:rowOff>0</xdr:rowOff>
    </xdr:from>
    <xdr:ext cx="332976" cy="248851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5922065" y="13136217"/>
          <a:ext cx="332976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Air</a:t>
          </a:r>
        </a:p>
      </xdr:txBody>
    </xdr:sp>
    <xdr:clientData/>
  </xdr:oneCellAnchor>
  <xdr:oneCellAnchor>
    <xdr:from>
      <xdr:col>17</xdr:col>
      <xdr:colOff>170620</xdr:colOff>
      <xdr:row>89</xdr:row>
      <xdr:rowOff>37390</xdr:rowOff>
    </xdr:from>
    <xdr:ext cx="511615" cy="248851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5618920" y="14624247"/>
          <a:ext cx="51161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Water</a:t>
          </a:r>
        </a:p>
      </xdr:txBody>
    </xdr:sp>
    <xdr:clientData/>
  </xdr:oneCellAnchor>
  <xdr:twoCellAnchor>
    <xdr:from>
      <xdr:col>6</xdr:col>
      <xdr:colOff>33131</xdr:colOff>
      <xdr:row>79</xdr:row>
      <xdr:rowOff>33129</xdr:rowOff>
    </xdr:from>
    <xdr:to>
      <xdr:col>12</xdr:col>
      <xdr:colOff>57548</xdr:colOff>
      <xdr:row>91</xdr:row>
      <xdr:rowOff>70208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GrpSpPr/>
      </xdr:nvGrpSpPr>
      <xdr:grpSpPr>
        <a:xfrm>
          <a:off x="2395331" y="12882354"/>
          <a:ext cx="1957992" cy="2037329"/>
          <a:chOff x="2956909" y="10252792"/>
          <a:chExt cx="3320555" cy="3411662"/>
        </a:xfrm>
      </xdr:grpSpPr>
      <xdr:grpSp>
        <xdr:nvGrpSpPr>
          <xdr:cNvPr id="69" name="Turbine">
            <a:extLst>
              <a:ext uri="{FF2B5EF4-FFF2-40B4-BE49-F238E27FC236}">
                <a16:creationId xmlns:a16="http://schemas.microsoft.com/office/drawing/2014/main" id="{00000000-0008-0000-0300-000045000000}"/>
              </a:ext>
            </a:extLst>
          </xdr:cNvPr>
          <xdr:cNvGrpSpPr/>
        </xdr:nvGrpSpPr>
        <xdr:grpSpPr>
          <a:xfrm flipH="1">
            <a:off x="3840918" y="10384911"/>
            <a:ext cx="1856712" cy="1243500"/>
            <a:chOff x="9572125" y="4713379"/>
            <a:chExt cx="1018486" cy="1197133"/>
          </a:xfrm>
        </xdr:grpSpPr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300-000060000000}"/>
                </a:ext>
              </a:extLst>
            </xdr:cNvPr>
            <xdr:cNvSpPr/>
          </xdr:nvSpPr>
          <xdr:spPr>
            <a:xfrm>
              <a:off x="10341143" y="4831682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" name="Rectangle 96">
              <a:extLst>
                <a:ext uri="{FF2B5EF4-FFF2-40B4-BE49-F238E27FC236}">
                  <a16:creationId xmlns:a16="http://schemas.microsoft.com/office/drawing/2014/main" id="{00000000-0008-0000-0300-000061000000}"/>
                </a:ext>
              </a:extLst>
            </xdr:cNvPr>
            <xdr:cNvSpPr/>
          </xdr:nvSpPr>
          <xdr:spPr>
            <a:xfrm>
              <a:off x="9637295" y="5586664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8" name="Trapezoid 97">
              <a:extLst>
                <a:ext uri="{FF2B5EF4-FFF2-40B4-BE49-F238E27FC236}">
                  <a16:creationId xmlns:a16="http://schemas.microsoft.com/office/drawing/2014/main" id="{00000000-0008-0000-0300-000062000000}"/>
                </a:ext>
              </a:extLst>
            </xdr:cNvPr>
            <xdr:cNvSpPr/>
          </xdr:nvSpPr>
          <xdr:spPr>
            <a:xfrm rot="5400000" flipH="1">
              <a:off x="9577642" y="4713870"/>
              <a:ext cx="1007451" cy="1018486"/>
            </a:xfrm>
            <a:prstGeom prst="trapezoid">
              <a:avLst>
                <a:gd name="adj" fmla="val 32812"/>
              </a:avLst>
            </a:prstGeom>
            <a:solidFill>
              <a:schemeClr val="bg1"/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9" name="Rectangle 98">
              <a:extLst>
                <a:ext uri="{FF2B5EF4-FFF2-40B4-BE49-F238E27FC236}">
                  <a16:creationId xmlns:a16="http://schemas.microsoft.com/office/drawing/2014/main" id="{00000000-0008-0000-0300-000063000000}"/>
                </a:ext>
              </a:extLst>
            </xdr:cNvPr>
            <xdr:cNvSpPr/>
          </xdr:nvSpPr>
          <xdr:spPr>
            <a:xfrm>
              <a:off x="9663479" y="5468361"/>
              <a:ext cx="141675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300-000064000000}"/>
                </a:ext>
              </a:extLst>
            </xdr:cNvPr>
            <xdr:cNvSpPr/>
          </xdr:nvSpPr>
          <xdr:spPr>
            <a:xfrm>
              <a:off x="10352171" y="4713379"/>
              <a:ext cx="165433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01" name="TextBox 100">
              <a:extLst>
                <a:ext uri="{FF2B5EF4-FFF2-40B4-BE49-F238E27FC236}">
                  <a16:creationId xmlns:a16="http://schemas.microsoft.com/office/drawing/2014/main" id="{00000000-0008-0000-0300-000065000000}"/>
                </a:ext>
              </a:extLst>
            </xdr:cNvPr>
            <xdr:cNvSpPr txBox="1"/>
          </xdr:nvSpPr>
          <xdr:spPr>
            <a:xfrm>
              <a:off x="9639489" y="5058815"/>
              <a:ext cx="823316" cy="28441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pPr algn="ctr"/>
              <a:r>
                <a:rPr lang="en-GB" sz="900"/>
                <a:t>Steam turbine</a:t>
              </a:r>
            </a:p>
          </xdr:txBody>
        </xdr:sp>
      </xdr:grpSp>
      <xdr:cxnSp macro="">
        <xdr:nvCxnSpPr>
          <xdr:cNvPr id="70" name="Elbow Connector 69">
            <a:extLst>
              <a:ext uri="{FF2B5EF4-FFF2-40B4-BE49-F238E27FC236}">
                <a16:creationId xmlns:a16="http://schemas.microsoft.com/office/drawing/2014/main" id="{00000000-0008-0000-0300-000046000000}"/>
              </a:ext>
            </a:extLst>
          </xdr:cNvPr>
          <xdr:cNvCxnSpPr/>
        </xdr:nvCxnSpPr>
        <xdr:spPr>
          <a:xfrm rot="10800000" flipV="1">
            <a:off x="3335432" y="12832056"/>
            <a:ext cx="2054699" cy="554491"/>
          </a:xfrm>
          <a:prstGeom prst="bentConnector3">
            <a:avLst>
              <a:gd name="adj1" fmla="val -110"/>
            </a:avLst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Elbow Connector 70">
            <a:extLst>
              <a:ext uri="{FF2B5EF4-FFF2-40B4-BE49-F238E27FC236}">
                <a16:creationId xmlns:a16="http://schemas.microsoft.com/office/drawing/2014/main" id="{00000000-0008-0000-0300-000047000000}"/>
              </a:ext>
            </a:extLst>
          </xdr:cNvPr>
          <xdr:cNvCxnSpPr/>
        </xdr:nvCxnSpPr>
        <xdr:spPr>
          <a:xfrm>
            <a:off x="3182271" y="10268926"/>
            <a:ext cx="922518" cy="337038"/>
          </a:xfrm>
          <a:prstGeom prst="bentConnector2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300-000048000000}"/>
              </a:ext>
            </a:extLst>
          </xdr:cNvPr>
          <xdr:cNvSpPr txBox="1"/>
        </xdr:nvSpPr>
        <xdr:spPr>
          <a:xfrm>
            <a:off x="3746477" y="13430250"/>
            <a:ext cx="1185776" cy="2342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Condensate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300-000049000000}"/>
              </a:ext>
            </a:extLst>
          </xdr:cNvPr>
          <xdr:cNvSpPr txBox="1"/>
        </xdr:nvSpPr>
        <xdr:spPr>
          <a:xfrm>
            <a:off x="2956909" y="10252792"/>
            <a:ext cx="1174576" cy="2651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Steam</a:t>
            </a:r>
          </a:p>
        </xdr:txBody>
      </xdr:sp>
      <xdr:grpSp>
        <xdr:nvGrpSpPr>
          <xdr:cNvPr id="74" name="Condenser Surface">
            <a:extLst>
              <a:ext uri="{FF2B5EF4-FFF2-40B4-BE49-F238E27FC236}">
                <a16:creationId xmlns:a16="http://schemas.microsoft.com/office/drawing/2014/main" id="{00000000-0008-0000-0300-00004A000000}"/>
              </a:ext>
            </a:extLst>
          </xdr:cNvPr>
          <xdr:cNvGrpSpPr/>
        </xdr:nvGrpSpPr>
        <xdr:grpSpPr>
          <a:xfrm>
            <a:off x="4602517" y="11628924"/>
            <a:ext cx="1674947" cy="1201752"/>
            <a:chOff x="446484" y="32599312"/>
            <a:chExt cx="1308281" cy="946442"/>
          </a:xfrm>
        </xdr:grpSpPr>
        <xdr:grpSp>
          <xdr:nvGrpSpPr>
            <xdr:cNvPr id="75" name="Group 74">
              <a:extLst>
                <a:ext uri="{FF2B5EF4-FFF2-40B4-BE49-F238E27FC236}">
                  <a16:creationId xmlns:a16="http://schemas.microsoft.com/office/drawing/2014/main" id="{00000000-0008-0000-0300-00004B000000}"/>
                </a:ext>
              </a:extLst>
            </xdr:cNvPr>
            <xdr:cNvGrpSpPr/>
          </xdr:nvGrpSpPr>
          <xdr:grpSpPr>
            <a:xfrm>
              <a:off x="446484" y="32599312"/>
              <a:ext cx="1308281" cy="946442"/>
              <a:chOff x="470858" y="35630288"/>
              <a:chExt cx="1308281" cy="946442"/>
            </a:xfrm>
          </xdr:grpSpPr>
          <xdr:sp macro="" textlink="">
            <xdr:nvSpPr>
              <xdr:cNvPr id="87" name="Freeform 86">
                <a:extLst>
                  <a:ext uri="{FF2B5EF4-FFF2-40B4-BE49-F238E27FC236}">
                    <a16:creationId xmlns:a16="http://schemas.microsoft.com/office/drawing/2014/main" id="{00000000-0008-0000-0300-000057000000}"/>
                  </a:ext>
                </a:extLst>
              </xdr:cNvPr>
              <xdr:cNvSpPr/>
            </xdr:nvSpPr>
            <xdr:spPr>
              <a:xfrm>
                <a:off x="843606" y="36454605"/>
                <a:ext cx="562786" cy="119560"/>
              </a:xfrm>
              <a:custGeom>
                <a:avLst/>
                <a:gdLst>
                  <a:gd name="connsiteX0" fmla="*/ 0 w 1410510"/>
                  <a:gd name="connsiteY0" fmla="*/ 50247 h 111048"/>
                  <a:gd name="connsiteX1" fmla="*/ 52691 w 1410510"/>
                  <a:gd name="connsiteY1" fmla="*/ 1609 h 111048"/>
                  <a:gd name="connsiteX2" fmla="*/ 137808 w 1410510"/>
                  <a:gd name="connsiteY2" fmla="*/ 102939 h 111048"/>
                  <a:gd name="connsiteX3" fmla="*/ 243191 w 1410510"/>
                  <a:gd name="connsiteY3" fmla="*/ 13768 h 111048"/>
                  <a:gd name="connsiteX4" fmla="*/ 344521 w 1410510"/>
                  <a:gd name="connsiteY4" fmla="*/ 106992 h 111048"/>
                  <a:gd name="connsiteX5" fmla="*/ 433691 w 1410510"/>
                  <a:gd name="connsiteY5" fmla="*/ 17822 h 111048"/>
                  <a:gd name="connsiteX6" fmla="*/ 535021 w 1410510"/>
                  <a:gd name="connsiteY6" fmla="*/ 102939 h 111048"/>
                  <a:gd name="connsiteX7" fmla="*/ 636351 w 1410510"/>
                  <a:gd name="connsiteY7" fmla="*/ 13768 h 111048"/>
                  <a:gd name="connsiteX8" fmla="*/ 701202 w 1410510"/>
                  <a:gd name="connsiteY8" fmla="*/ 106992 h 111048"/>
                  <a:gd name="connsiteX9" fmla="*/ 794425 w 1410510"/>
                  <a:gd name="connsiteY9" fmla="*/ 17822 h 111048"/>
                  <a:gd name="connsiteX10" fmla="*/ 891702 w 1410510"/>
                  <a:gd name="connsiteY10" fmla="*/ 111045 h 111048"/>
                  <a:gd name="connsiteX11" fmla="*/ 956553 w 1410510"/>
                  <a:gd name="connsiteY11" fmla="*/ 21875 h 111048"/>
                  <a:gd name="connsiteX12" fmla="*/ 1070042 w 1410510"/>
                  <a:gd name="connsiteY12" fmla="*/ 102939 h 111048"/>
                  <a:gd name="connsiteX13" fmla="*/ 1155159 w 1410510"/>
                  <a:gd name="connsiteY13" fmla="*/ 21875 h 111048"/>
                  <a:gd name="connsiteX14" fmla="*/ 1232170 w 1410510"/>
                  <a:gd name="connsiteY14" fmla="*/ 111045 h 111048"/>
                  <a:gd name="connsiteX15" fmla="*/ 1317287 w 1410510"/>
                  <a:gd name="connsiteY15" fmla="*/ 17822 h 111048"/>
                  <a:gd name="connsiteX16" fmla="*/ 1410510 w 1410510"/>
                  <a:gd name="connsiteY16" fmla="*/ 70513 h 111048"/>
                  <a:gd name="connsiteX0" fmla="*/ 0 w 1418616"/>
                  <a:gd name="connsiteY0" fmla="*/ 50247 h 128541"/>
                  <a:gd name="connsiteX1" fmla="*/ 52691 w 1418616"/>
                  <a:gd name="connsiteY1" fmla="*/ 1609 h 128541"/>
                  <a:gd name="connsiteX2" fmla="*/ 137808 w 1418616"/>
                  <a:gd name="connsiteY2" fmla="*/ 102939 h 128541"/>
                  <a:gd name="connsiteX3" fmla="*/ 243191 w 1418616"/>
                  <a:gd name="connsiteY3" fmla="*/ 13768 h 128541"/>
                  <a:gd name="connsiteX4" fmla="*/ 344521 w 1418616"/>
                  <a:gd name="connsiteY4" fmla="*/ 106992 h 128541"/>
                  <a:gd name="connsiteX5" fmla="*/ 433691 w 1418616"/>
                  <a:gd name="connsiteY5" fmla="*/ 17822 h 128541"/>
                  <a:gd name="connsiteX6" fmla="*/ 535021 w 1418616"/>
                  <a:gd name="connsiteY6" fmla="*/ 102939 h 128541"/>
                  <a:gd name="connsiteX7" fmla="*/ 636351 w 1418616"/>
                  <a:gd name="connsiteY7" fmla="*/ 13768 h 128541"/>
                  <a:gd name="connsiteX8" fmla="*/ 701202 w 1418616"/>
                  <a:gd name="connsiteY8" fmla="*/ 106992 h 128541"/>
                  <a:gd name="connsiteX9" fmla="*/ 794425 w 1418616"/>
                  <a:gd name="connsiteY9" fmla="*/ 17822 h 128541"/>
                  <a:gd name="connsiteX10" fmla="*/ 891702 w 1418616"/>
                  <a:gd name="connsiteY10" fmla="*/ 111045 h 128541"/>
                  <a:gd name="connsiteX11" fmla="*/ 956553 w 1418616"/>
                  <a:gd name="connsiteY11" fmla="*/ 21875 h 128541"/>
                  <a:gd name="connsiteX12" fmla="*/ 1070042 w 1418616"/>
                  <a:gd name="connsiteY12" fmla="*/ 102939 h 128541"/>
                  <a:gd name="connsiteX13" fmla="*/ 1155159 w 1418616"/>
                  <a:gd name="connsiteY13" fmla="*/ 21875 h 128541"/>
                  <a:gd name="connsiteX14" fmla="*/ 1232170 w 1418616"/>
                  <a:gd name="connsiteY14" fmla="*/ 111045 h 128541"/>
                  <a:gd name="connsiteX15" fmla="*/ 1317287 w 1418616"/>
                  <a:gd name="connsiteY15" fmla="*/ 17822 h 128541"/>
                  <a:gd name="connsiteX16" fmla="*/ 1418616 w 1418616"/>
                  <a:gd name="connsiteY16" fmla="*/ 128541 h 128541"/>
                  <a:gd name="connsiteX0" fmla="*/ 0 w 1418616"/>
                  <a:gd name="connsiteY0" fmla="*/ 267983 h 267983"/>
                  <a:gd name="connsiteX1" fmla="*/ 52691 w 1418616"/>
                  <a:gd name="connsiteY1" fmla="*/ 3816 h 267983"/>
                  <a:gd name="connsiteX2" fmla="*/ 137808 w 1418616"/>
                  <a:gd name="connsiteY2" fmla="*/ 105146 h 267983"/>
                  <a:gd name="connsiteX3" fmla="*/ 243191 w 1418616"/>
                  <a:gd name="connsiteY3" fmla="*/ 15975 h 267983"/>
                  <a:gd name="connsiteX4" fmla="*/ 344521 w 1418616"/>
                  <a:gd name="connsiteY4" fmla="*/ 109199 h 267983"/>
                  <a:gd name="connsiteX5" fmla="*/ 433691 w 1418616"/>
                  <a:gd name="connsiteY5" fmla="*/ 20029 h 267983"/>
                  <a:gd name="connsiteX6" fmla="*/ 535021 w 1418616"/>
                  <a:gd name="connsiteY6" fmla="*/ 105146 h 267983"/>
                  <a:gd name="connsiteX7" fmla="*/ 636351 w 1418616"/>
                  <a:gd name="connsiteY7" fmla="*/ 15975 h 267983"/>
                  <a:gd name="connsiteX8" fmla="*/ 701202 w 1418616"/>
                  <a:gd name="connsiteY8" fmla="*/ 109199 h 267983"/>
                  <a:gd name="connsiteX9" fmla="*/ 794425 w 1418616"/>
                  <a:gd name="connsiteY9" fmla="*/ 20029 h 267983"/>
                  <a:gd name="connsiteX10" fmla="*/ 891702 w 1418616"/>
                  <a:gd name="connsiteY10" fmla="*/ 113252 h 267983"/>
                  <a:gd name="connsiteX11" fmla="*/ 956553 w 1418616"/>
                  <a:gd name="connsiteY11" fmla="*/ 24082 h 267983"/>
                  <a:gd name="connsiteX12" fmla="*/ 1070042 w 1418616"/>
                  <a:gd name="connsiteY12" fmla="*/ 105146 h 267983"/>
                  <a:gd name="connsiteX13" fmla="*/ 1155159 w 1418616"/>
                  <a:gd name="connsiteY13" fmla="*/ 24082 h 267983"/>
                  <a:gd name="connsiteX14" fmla="*/ 1232170 w 1418616"/>
                  <a:gd name="connsiteY14" fmla="*/ 113252 h 267983"/>
                  <a:gd name="connsiteX15" fmla="*/ 1317287 w 1418616"/>
                  <a:gd name="connsiteY15" fmla="*/ 20029 h 267983"/>
                  <a:gd name="connsiteX16" fmla="*/ 1418616 w 1418616"/>
                  <a:gd name="connsiteY16" fmla="*/ 130748 h 267983"/>
                  <a:gd name="connsiteX0" fmla="*/ 0 w 1418616"/>
                  <a:gd name="connsiteY0" fmla="*/ 264488 h 264488"/>
                  <a:gd name="connsiteX1" fmla="*/ 28372 w 1418616"/>
                  <a:gd name="connsiteY1" fmla="*/ 142917 h 264488"/>
                  <a:gd name="connsiteX2" fmla="*/ 52691 w 1418616"/>
                  <a:gd name="connsiteY2" fmla="*/ 321 h 264488"/>
                  <a:gd name="connsiteX3" fmla="*/ 137808 w 1418616"/>
                  <a:gd name="connsiteY3" fmla="*/ 101651 h 264488"/>
                  <a:gd name="connsiteX4" fmla="*/ 243191 w 1418616"/>
                  <a:gd name="connsiteY4" fmla="*/ 12480 h 264488"/>
                  <a:gd name="connsiteX5" fmla="*/ 344521 w 1418616"/>
                  <a:gd name="connsiteY5" fmla="*/ 105704 h 264488"/>
                  <a:gd name="connsiteX6" fmla="*/ 433691 w 1418616"/>
                  <a:gd name="connsiteY6" fmla="*/ 16534 h 264488"/>
                  <a:gd name="connsiteX7" fmla="*/ 535021 w 1418616"/>
                  <a:gd name="connsiteY7" fmla="*/ 101651 h 264488"/>
                  <a:gd name="connsiteX8" fmla="*/ 636351 w 1418616"/>
                  <a:gd name="connsiteY8" fmla="*/ 12480 h 264488"/>
                  <a:gd name="connsiteX9" fmla="*/ 701202 w 1418616"/>
                  <a:gd name="connsiteY9" fmla="*/ 105704 h 264488"/>
                  <a:gd name="connsiteX10" fmla="*/ 794425 w 1418616"/>
                  <a:gd name="connsiteY10" fmla="*/ 16534 h 264488"/>
                  <a:gd name="connsiteX11" fmla="*/ 891702 w 1418616"/>
                  <a:gd name="connsiteY11" fmla="*/ 109757 h 264488"/>
                  <a:gd name="connsiteX12" fmla="*/ 956553 w 1418616"/>
                  <a:gd name="connsiteY12" fmla="*/ 20587 h 264488"/>
                  <a:gd name="connsiteX13" fmla="*/ 1070042 w 1418616"/>
                  <a:gd name="connsiteY13" fmla="*/ 101651 h 264488"/>
                  <a:gd name="connsiteX14" fmla="*/ 1155159 w 1418616"/>
                  <a:gd name="connsiteY14" fmla="*/ 20587 h 264488"/>
                  <a:gd name="connsiteX15" fmla="*/ 1232170 w 1418616"/>
                  <a:gd name="connsiteY15" fmla="*/ 109757 h 264488"/>
                  <a:gd name="connsiteX16" fmla="*/ 1317287 w 1418616"/>
                  <a:gd name="connsiteY16" fmla="*/ 16534 h 264488"/>
                  <a:gd name="connsiteX17" fmla="*/ 1418616 w 1418616"/>
                  <a:gd name="connsiteY17" fmla="*/ 127253 h 264488"/>
                  <a:gd name="connsiteX0" fmla="*/ 6551 w 1425167"/>
                  <a:gd name="connsiteY0" fmla="*/ 264181 h 264181"/>
                  <a:gd name="connsiteX1" fmla="*/ 2498 w 1425167"/>
                  <a:gd name="connsiteY1" fmla="*/ 109451 h 264181"/>
                  <a:gd name="connsiteX2" fmla="*/ 59242 w 1425167"/>
                  <a:gd name="connsiteY2" fmla="*/ 14 h 264181"/>
                  <a:gd name="connsiteX3" fmla="*/ 144359 w 1425167"/>
                  <a:gd name="connsiteY3" fmla="*/ 101344 h 264181"/>
                  <a:gd name="connsiteX4" fmla="*/ 249742 w 1425167"/>
                  <a:gd name="connsiteY4" fmla="*/ 12173 h 264181"/>
                  <a:gd name="connsiteX5" fmla="*/ 351072 w 1425167"/>
                  <a:gd name="connsiteY5" fmla="*/ 105397 h 264181"/>
                  <a:gd name="connsiteX6" fmla="*/ 440242 w 1425167"/>
                  <a:gd name="connsiteY6" fmla="*/ 16227 h 264181"/>
                  <a:gd name="connsiteX7" fmla="*/ 541572 w 1425167"/>
                  <a:gd name="connsiteY7" fmla="*/ 101344 h 264181"/>
                  <a:gd name="connsiteX8" fmla="*/ 642902 w 1425167"/>
                  <a:gd name="connsiteY8" fmla="*/ 12173 h 264181"/>
                  <a:gd name="connsiteX9" fmla="*/ 707753 w 1425167"/>
                  <a:gd name="connsiteY9" fmla="*/ 105397 h 264181"/>
                  <a:gd name="connsiteX10" fmla="*/ 800976 w 1425167"/>
                  <a:gd name="connsiteY10" fmla="*/ 16227 h 264181"/>
                  <a:gd name="connsiteX11" fmla="*/ 898253 w 1425167"/>
                  <a:gd name="connsiteY11" fmla="*/ 109450 h 264181"/>
                  <a:gd name="connsiteX12" fmla="*/ 963104 w 1425167"/>
                  <a:gd name="connsiteY12" fmla="*/ 20280 h 264181"/>
                  <a:gd name="connsiteX13" fmla="*/ 1076593 w 1425167"/>
                  <a:gd name="connsiteY13" fmla="*/ 101344 h 264181"/>
                  <a:gd name="connsiteX14" fmla="*/ 1161710 w 1425167"/>
                  <a:gd name="connsiteY14" fmla="*/ 20280 h 264181"/>
                  <a:gd name="connsiteX15" fmla="*/ 1238721 w 1425167"/>
                  <a:gd name="connsiteY15" fmla="*/ 109450 h 264181"/>
                  <a:gd name="connsiteX16" fmla="*/ 1323838 w 1425167"/>
                  <a:gd name="connsiteY16" fmla="*/ 16227 h 264181"/>
                  <a:gd name="connsiteX17" fmla="*/ 1425167 w 1425167"/>
                  <a:gd name="connsiteY17" fmla="*/ 126946 h 264181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408954 w 1408954"/>
                  <a:gd name="connsiteY17" fmla="*/ 267869 h 267869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372477 w 1408954"/>
                  <a:gd name="connsiteY17" fmla="*/ 184056 h 267869"/>
                  <a:gd name="connsiteX18" fmla="*/ 1408954 w 1408954"/>
                  <a:gd name="connsiteY18" fmla="*/ 267869 h 267869"/>
                  <a:gd name="connsiteX0" fmla="*/ 6551 w 1424741"/>
                  <a:gd name="connsiteY0" fmla="*/ 264181 h 267869"/>
                  <a:gd name="connsiteX1" fmla="*/ 2498 w 1424741"/>
                  <a:gd name="connsiteY1" fmla="*/ 109451 h 267869"/>
                  <a:gd name="connsiteX2" fmla="*/ 59242 w 1424741"/>
                  <a:gd name="connsiteY2" fmla="*/ 14 h 267869"/>
                  <a:gd name="connsiteX3" fmla="*/ 144359 w 1424741"/>
                  <a:gd name="connsiteY3" fmla="*/ 101344 h 267869"/>
                  <a:gd name="connsiteX4" fmla="*/ 249742 w 1424741"/>
                  <a:gd name="connsiteY4" fmla="*/ 12173 h 267869"/>
                  <a:gd name="connsiteX5" fmla="*/ 351072 w 1424741"/>
                  <a:gd name="connsiteY5" fmla="*/ 105397 h 267869"/>
                  <a:gd name="connsiteX6" fmla="*/ 440242 w 1424741"/>
                  <a:gd name="connsiteY6" fmla="*/ 16227 h 267869"/>
                  <a:gd name="connsiteX7" fmla="*/ 541572 w 1424741"/>
                  <a:gd name="connsiteY7" fmla="*/ 101344 h 267869"/>
                  <a:gd name="connsiteX8" fmla="*/ 642902 w 1424741"/>
                  <a:gd name="connsiteY8" fmla="*/ 12173 h 267869"/>
                  <a:gd name="connsiteX9" fmla="*/ 707753 w 1424741"/>
                  <a:gd name="connsiteY9" fmla="*/ 105397 h 267869"/>
                  <a:gd name="connsiteX10" fmla="*/ 800976 w 1424741"/>
                  <a:gd name="connsiteY10" fmla="*/ 16227 h 267869"/>
                  <a:gd name="connsiteX11" fmla="*/ 898253 w 1424741"/>
                  <a:gd name="connsiteY11" fmla="*/ 109450 h 267869"/>
                  <a:gd name="connsiteX12" fmla="*/ 963104 w 1424741"/>
                  <a:gd name="connsiteY12" fmla="*/ 20280 h 267869"/>
                  <a:gd name="connsiteX13" fmla="*/ 1076593 w 1424741"/>
                  <a:gd name="connsiteY13" fmla="*/ 101344 h 267869"/>
                  <a:gd name="connsiteX14" fmla="*/ 1161710 w 1424741"/>
                  <a:gd name="connsiteY14" fmla="*/ 20280 h 267869"/>
                  <a:gd name="connsiteX15" fmla="*/ 1238721 w 1424741"/>
                  <a:gd name="connsiteY15" fmla="*/ 109450 h 267869"/>
                  <a:gd name="connsiteX16" fmla="*/ 1323838 w 1424741"/>
                  <a:gd name="connsiteY16" fmla="*/ 16227 h 267869"/>
                  <a:gd name="connsiteX17" fmla="*/ 1421115 w 1424741"/>
                  <a:gd name="connsiteY17" fmla="*/ 142608 h 267869"/>
                  <a:gd name="connsiteX18" fmla="*/ 1408954 w 1424741"/>
                  <a:gd name="connsiteY18" fmla="*/ 267869 h 267869"/>
                  <a:gd name="connsiteX0" fmla="*/ 6551 w 1426266"/>
                  <a:gd name="connsiteY0" fmla="*/ 264181 h 267869"/>
                  <a:gd name="connsiteX1" fmla="*/ 2498 w 1426266"/>
                  <a:gd name="connsiteY1" fmla="*/ 109451 h 267869"/>
                  <a:gd name="connsiteX2" fmla="*/ 59242 w 1426266"/>
                  <a:gd name="connsiteY2" fmla="*/ 14 h 267869"/>
                  <a:gd name="connsiteX3" fmla="*/ 144359 w 1426266"/>
                  <a:gd name="connsiteY3" fmla="*/ 101344 h 267869"/>
                  <a:gd name="connsiteX4" fmla="*/ 249742 w 1426266"/>
                  <a:gd name="connsiteY4" fmla="*/ 12173 h 267869"/>
                  <a:gd name="connsiteX5" fmla="*/ 351072 w 1426266"/>
                  <a:gd name="connsiteY5" fmla="*/ 105397 h 267869"/>
                  <a:gd name="connsiteX6" fmla="*/ 440242 w 1426266"/>
                  <a:gd name="connsiteY6" fmla="*/ 16227 h 267869"/>
                  <a:gd name="connsiteX7" fmla="*/ 541572 w 1426266"/>
                  <a:gd name="connsiteY7" fmla="*/ 101344 h 267869"/>
                  <a:gd name="connsiteX8" fmla="*/ 642902 w 1426266"/>
                  <a:gd name="connsiteY8" fmla="*/ 12173 h 267869"/>
                  <a:gd name="connsiteX9" fmla="*/ 707753 w 1426266"/>
                  <a:gd name="connsiteY9" fmla="*/ 105397 h 267869"/>
                  <a:gd name="connsiteX10" fmla="*/ 800976 w 1426266"/>
                  <a:gd name="connsiteY10" fmla="*/ 16227 h 267869"/>
                  <a:gd name="connsiteX11" fmla="*/ 898253 w 1426266"/>
                  <a:gd name="connsiteY11" fmla="*/ 109450 h 267869"/>
                  <a:gd name="connsiteX12" fmla="*/ 963104 w 1426266"/>
                  <a:gd name="connsiteY12" fmla="*/ 20280 h 267869"/>
                  <a:gd name="connsiteX13" fmla="*/ 1076593 w 1426266"/>
                  <a:gd name="connsiteY13" fmla="*/ 101344 h 267869"/>
                  <a:gd name="connsiteX14" fmla="*/ 1161710 w 1426266"/>
                  <a:gd name="connsiteY14" fmla="*/ 20280 h 267869"/>
                  <a:gd name="connsiteX15" fmla="*/ 1238721 w 1426266"/>
                  <a:gd name="connsiteY15" fmla="*/ 109450 h 267869"/>
                  <a:gd name="connsiteX16" fmla="*/ 1323838 w 1426266"/>
                  <a:gd name="connsiteY16" fmla="*/ 16227 h 267869"/>
                  <a:gd name="connsiteX17" fmla="*/ 1421115 w 1426266"/>
                  <a:gd name="connsiteY17" fmla="*/ 142608 h 267869"/>
                  <a:gd name="connsiteX18" fmla="*/ 1421110 w 1426266"/>
                  <a:gd name="connsiteY18" fmla="*/ 267869 h 267869"/>
                  <a:gd name="connsiteX0" fmla="*/ 6551 w 1421110"/>
                  <a:gd name="connsiteY0" fmla="*/ 264181 h 267869"/>
                  <a:gd name="connsiteX1" fmla="*/ 2498 w 1421110"/>
                  <a:gd name="connsiteY1" fmla="*/ 109451 h 267869"/>
                  <a:gd name="connsiteX2" fmla="*/ 59242 w 1421110"/>
                  <a:gd name="connsiteY2" fmla="*/ 14 h 267869"/>
                  <a:gd name="connsiteX3" fmla="*/ 144359 w 1421110"/>
                  <a:gd name="connsiteY3" fmla="*/ 101344 h 267869"/>
                  <a:gd name="connsiteX4" fmla="*/ 249742 w 1421110"/>
                  <a:gd name="connsiteY4" fmla="*/ 12173 h 267869"/>
                  <a:gd name="connsiteX5" fmla="*/ 351072 w 1421110"/>
                  <a:gd name="connsiteY5" fmla="*/ 105397 h 267869"/>
                  <a:gd name="connsiteX6" fmla="*/ 440242 w 1421110"/>
                  <a:gd name="connsiteY6" fmla="*/ 16227 h 267869"/>
                  <a:gd name="connsiteX7" fmla="*/ 541572 w 1421110"/>
                  <a:gd name="connsiteY7" fmla="*/ 101344 h 267869"/>
                  <a:gd name="connsiteX8" fmla="*/ 642902 w 1421110"/>
                  <a:gd name="connsiteY8" fmla="*/ 12173 h 267869"/>
                  <a:gd name="connsiteX9" fmla="*/ 707753 w 1421110"/>
                  <a:gd name="connsiteY9" fmla="*/ 105397 h 267869"/>
                  <a:gd name="connsiteX10" fmla="*/ 800976 w 1421110"/>
                  <a:gd name="connsiteY10" fmla="*/ 16227 h 267869"/>
                  <a:gd name="connsiteX11" fmla="*/ 898253 w 1421110"/>
                  <a:gd name="connsiteY11" fmla="*/ 109450 h 267869"/>
                  <a:gd name="connsiteX12" fmla="*/ 963104 w 1421110"/>
                  <a:gd name="connsiteY12" fmla="*/ 20280 h 267869"/>
                  <a:gd name="connsiteX13" fmla="*/ 1076593 w 1421110"/>
                  <a:gd name="connsiteY13" fmla="*/ 101344 h 267869"/>
                  <a:gd name="connsiteX14" fmla="*/ 1161710 w 1421110"/>
                  <a:gd name="connsiteY14" fmla="*/ 20280 h 267869"/>
                  <a:gd name="connsiteX15" fmla="*/ 1238721 w 1421110"/>
                  <a:gd name="connsiteY15" fmla="*/ 109450 h 267869"/>
                  <a:gd name="connsiteX16" fmla="*/ 1323838 w 1421110"/>
                  <a:gd name="connsiteY16" fmla="*/ 16227 h 267869"/>
                  <a:gd name="connsiteX17" fmla="*/ 1413010 w 1421110"/>
                  <a:gd name="connsiteY17" fmla="*/ 150897 h 267869"/>
                  <a:gd name="connsiteX18" fmla="*/ 1421110 w 1421110"/>
                  <a:gd name="connsiteY18" fmla="*/ 267869 h 26786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</a:cxnLst>
                <a:rect l="l" t="t" r="r" b="b"/>
                <a:pathLst>
                  <a:path w="1421110" h="267869">
                    <a:moveTo>
                      <a:pt x="6551" y="264181"/>
                    </a:moveTo>
                    <a:cubicBezTo>
                      <a:pt x="11280" y="243919"/>
                      <a:pt x="-6284" y="153479"/>
                      <a:pt x="2498" y="109451"/>
                    </a:cubicBezTo>
                    <a:cubicBezTo>
                      <a:pt x="11280" y="65423"/>
                      <a:pt x="35599" y="1365"/>
                      <a:pt x="59242" y="14"/>
                    </a:cubicBezTo>
                    <a:cubicBezTo>
                      <a:pt x="82885" y="-1337"/>
                      <a:pt x="112609" y="99318"/>
                      <a:pt x="144359" y="101344"/>
                    </a:cubicBezTo>
                    <a:cubicBezTo>
                      <a:pt x="176109" y="103370"/>
                      <a:pt x="215290" y="11498"/>
                      <a:pt x="249742" y="12173"/>
                    </a:cubicBezTo>
                    <a:cubicBezTo>
                      <a:pt x="284194" y="12848"/>
                      <a:pt x="319322" y="104721"/>
                      <a:pt x="351072" y="105397"/>
                    </a:cubicBezTo>
                    <a:cubicBezTo>
                      <a:pt x="382822" y="106073"/>
                      <a:pt x="408492" y="16902"/>
                      <a:pt x="440242" y="16227"/>
                    </a:cubicBezTo>
                    <a:cubicBezTo>
                      <a:pt x="471992" y="15552"/>
                      <a:pt x="507795" y="102020"/>
                      <a:pt x="541572" y="101344"/>
                    </a:cubicBezTo>
                    <a:cubicBezTo>
                      <a:pt x="575349" y="100668"/>
                      <a:pt x="615205" y="11498"/>
                      <a:pt x="642902" y="12173"/>
                    </a:cubicBezTo>
                    <a:cubicBezTo>
                      <a:pt x="670599" y="12848"/>
                      <a:pt x="681407" y="104721"/>
                      <a:pt x="707753" y="105397"/>
                    </a:cubicBezTo>
                    <a:cubicBezTo>
                      <a:pt x="734099" y="106073"/>
                      <a:pt x="769226" y="15552"/>
                      <a:pt x="800976" y="16227"/>
                    </a:cubicBezTo>
                    <a:cubicBezTo>
                      <a:pt x="832726" y="16902"/>
                      <a:pt x="871232" y="108775"/>
                      <a:pt x="898253" y="109450"/>
                    </a:cubicBezTo>
                    <a:cubicBezTo>
                      <a:pt x="925274" y="110126"/>
                      <a:pt x="933381" y="21631"/>
                      <a:pt x="963104" y="20280"/>
                    </a:cubicBezTo>
                    <a:cubicBezTo>
                      <a:pt x="992827" y="18929"/>
                      <a:pt x="1043492" y="101344"/>
                      <a:pt x="1076593" y="101344"/>
                    </a:cubicBezTo>
                    <a:cubicBezTo>
                      <a:pt x="1109694" y="101344"/>
                      <a:pt x="1134689" y="18929"/>
                      <a:pt x="1161710" y="20280"/>
                    </a:cubicBezTo>
                    <a:cubicBezTo>
                      <a:pt x="1188731" y="21631"/>
                      <a:pt x="1211700" y="110126"/>
                      <a:pt x="1238721" y="109450"/>
                    </a:cubicBezTo>
                    <a:cubicBezTo>
                      <a:pt x="1265742" y="108775"/>
                      <a:pt x="1294790" y="9319"/>
                      <a:pt x="1323838" y="16227"/>
                    </a:cubicBezTo>
                    <a:cubicBezTo>
                      <a:pt x="1352886" y="23135"/>
                      <a:pt x="1398824" y="108957"/>
                      <a:pt x="1413010" y="150897"/>
                    </a:cubicBezTo>
                    <a:cubicBezTo>
                      <a:pt x="1427196" y="192837"/>
                      <a:pt x="1415031" y="253900"/>
                      <a:pt x="1421110" y="267869"/>
                    </a:cubicBezTo>
                  </a:path>
                </a:pathLst>
              </a:custGeom>
              <a:solidFill>
                <a:schemeClr val="bg1">
                  <a:lumMod val="75000"/>
                </a:schemeClr>
              </a:solidFill>
              <a:ln w="952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8" name="Freeform 87">
                <a:extLst>
                  <a:ext uri="{FF2B5EF4-FFF2-40B4-BE49-F238E27FC236}">
                    <a16:creationId xmlns:a16="http://schemas.microsoft.com/office/drawing/2014/main" id="{00000000-0008-0000-0300-000058000000}"/>
                  </a:ext>
                </a:extLst>
              </xdr:cNvPr>
              <xdr:cNvSpPr/>
            </xdr:nvSpPr>
            <xdr:spPr>
              <a:xfrm>
                <a:off x="513468" y="35630288"/>
                <a:ext cx="1223063" cy="247421"/>
              </a:xfrm>
              <a:custGeom>
                <a:avLst/>
                <a:gdLst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748299 w 1901927"/>
                  <a:gd name="connsiteY4" fmla="*/ 193573 h 316476"/>
                  <a:gd name="connsiteX5" fmla="*/ 1898855 w 1901927"/>
                  <a:gd name="connsiteY5" fmla="*/ 193573 h 316476"/>
                  <a:gd name="connsiteX6" fmla="*/ 1898855 w 1901927"/>
                  <a:gd name="connsiteY6" fmla="*/ 316476 h 316476"/>
                  <a:gd name="connsiteX7" fmla="*/ 1901927 w 1901927"/>
                  <a:gd name="connsiteY7" fmla="*/ 310331 h 316476"/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898855 w 1901927"/>
                  <a:gd name="connsiteY4" fmla="*/ 193573 h 316476"/>
                  <a:gd name="connsiteX5" fmla="*/ 1898855 w 1901927"/>
                  <a:gd name="connsiteY5" fmla="*/ 316476 h 316476"/>
                  <a:gd name="connsiteX6" fmla="*/ 1901927 w 1901927"/>
                  <a:gd name="connsiteY6" fmla="*/ 310331 h 3164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901927" h="316476">
                    <a:moveTo>
                      <a:pt x="0" y="310331"/>
                    </a:moveTo>
                    <a:lnTo>
                      <a:pt x="0" y="193573"/>
                    </a:lnTo>
                    <a:lnTo>
                      <a:pt x="344129" y="0"/>
                    </a:lnTo>
                    <a:lnTo>
                      <a:pt x="1554726" y="0"/>
                    </a:lnTo>
                    <a:lnTo>
                      <a:pt x="1898855" y="193573"/>
                    </a:lnTo>
                    <a:lnTo>
                      <a:pt x="1898855" y="316476"/>
                    </a:lnTo>
                    <a:lnTo>
                      <a:pt x="1901927" y="310331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9" name="Rectangle 88">
                <a:extLst>
                  <a:ext uri="{FF2B5EF4-FFF2-40B4-BE49-F238E27FC236}">
                    <a16:creationId xmlns:a16="http://schemas.microsoft.com/office/drawing/2014/main" id="{00000000-0008-0000-0300-000059000000}"/>
                  </a:ext>
                </a:extLst>
              </xdr:cNvPr>
              <xdr:cNvSpPr/>
            </xdr:nvSpPr>
            <xdr:spPr>
              <a:xfrm>
                <a:off x="844831" y="36386096"/>
                <a:ext cx="560335" cy="19063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0" name="Rectangle 89">
                <a:extLst>
                  <a:ext uri="{FF2B5EF4-FFF2-40B4-BE49-F238E27FC236}">
                    <a16:creationId xmlns:a16="http://schemas.microsoft.com/office/drawing/2014/main" id="{00000000-0008-0000-0300-00005A000000}"/>
                  </a:ext>
                </a:extLst>
              </xdr:cNvPr>
              <xdr:cNvSpPr/>
            </xdr:nvSpPr>
            <xdr:spPr>
              <a:xfrm>
                <a:off x="470858" y="35861128"/>
                <a:ext cx="1308281" cy="523236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1" name="Rectangle 90">
                <a:extLst>
                  <a:ext uri="{FF2B5EF4-FFF2-40B4-BE49-F238E27FC236}">
                    <a16:creationId xmlns:a16="http://schemas.microsoft.com/office/drawing/2014/main" id="{00000000-0008-0000-0300-00005B000000}"/>
                  </a:ext>
                </a:extLst>
              </xdr:cNvPr>
              <xdr:cNvSpPr/>
            </xdr:nvSpPr>
            <xdr:spPr>
              <a:xfrm>
                <a:off x="521350" y="35915881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2" name="Rectangle 91">
                <a:extLst>
                  <a:ext uri="{FF2B5EF4-FFF2-40B4-BE49-F238E27FC236}">
                    <a16:creationId xmlns:a16="http://schemas.microsoft.com/office/drawing/2014/main" id="{00000000-0008-0000-0300-00005C000000}"/>
                  </a:ext>
                </a:extLst>
              </xdr:cNvPr>
              <xdr:cNvSpPr/>
            </xdr:nvSpPr>
            <xdr:spPr>
              <a:xfrm>
                <a:off x="521350" y="36008750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3" name="Rectangle 92">
                <a:extLst>
                  <a:ext uri="{FF2B5EF4-FFF2-40B4-BE49-F238E27FC236}">
                    <a16:creationId xmlns:a16="http://schemas.microsoft.com/office/drawing/2014/main" id="{00000000-0008-0000-0300-00005D000000}"/>
                  </a:ext>
                </a:extLst>
              </xdr:cNvPr>
              <xdr:cNvSpPr/>
            </xdr:nvSpPr>
            <xdr:spPr>
              <a:xfrm>
                <a:off x="521350" y="36101619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4" name="Rectangle 93">
                <a:extLst>
                  <a:ext uri="{FF2B5EF4-FFF2-40B4-BE49-F238E27FC236}">
                    <a16:creationId xmlns:a16="http://schemas.microsoft.com/office/drawing/2014/main" id="{00000000-0008-0000-0300-00005E000000}"/>
                  </a:ext>
                </a:extLst>
              </xdr:cNvPr>
              <xdr:cNvSpPr/>
            </xdr:nvSpPr>
            <xdr:spPr>
              <a:xfrm>
                <a:off x="521350" y="36194488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5" name="Rectangle 94">
                <a:extLst>
                  <a:ext uri="{FF2B5EF4-FFF2-40B4-BE49-F238E27FC236}">
                    <a16:creationId xmlns:a16="http://schemas.microsoft.com/office/drawing/2014/main" id="{00000000-0008-0000-0300-00005F000000}"/>
                  </a:ext>
                </a:extLst>
              </xdr:cNvPr>
              <xdr:cNvSpPr/>
            </xdr:nvSpPr>
            <xdr:spPr>
              <a:xfrm>
                <a:off x="521350" y="36287356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76" name="Group 75">
              <a:extLst>
                <a:ext uri="{FF2B5EF4-FFF2-40B4-BE49-F238E27FC236}">
                  <a16:creationId xmlns:a16="http://schemas.microsoft.com/office/drawing/2014/main" id="{00000000-0008-0000-0300-00004C000000}"/>
                </a:ext>
              </a:extLst>
            </xdr:cNvPr>
            <xdr:cNvGrpSpPr/>
          </xdr:nvGrpSpPr>
          <xdr:grpSpPr>
            <a:xfrm>
              <a:off x="732233" y="32599313"/>
              <a:ext cx="642939" cy="168555"/>
              <a:chOff x="3305175" y="4676775"/>
              <a:chExt cx="1457325" cy="504825"/>
            </a:xfrm>
          </xdr:grpSpPr>
          <xdr:sp macro="" textlink="">
            <xdr:nvSpPr>
              <xdr:cNvPr id="77" name="Arc 76">
                <a:extLst>
                  <a:ext uri="{FF2B5EF4-FFF2-40B4-BE49-F238E27FC236}">
                    <a16:creationId xmlns:a16="http://schemas.microsoft.com/office/drawing/2014/main" id="{00000000-0008-0000-0300-00004D000000}"/>
                  </a:ext>
                </a:extLst>
              </xdr:cNvPr>
              <xdr:cNvSpPr/>
            </xdr:nvSpPr>
            <xdr:spPr>
              <a:xfrm rot="10800000">
                <a:off x="3619500" y="46767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78" name="Arc 77">
                <a:extLst>
                  <a:ext uri="{FF2B5EF4-FFF2-40B4-BE49-F238E27FC236}">
                    <a16:creationId xmlns:a16="http://schemas.microsoft.com/office/drawing/2014/main" id="{00000000-0008-0000-0300-00004E000000}"/>
                  </a:ext>
                </a:extLst>
              </xdr:cNvPr>
              <xdr:cNvSpPr/>
            </xdr:nvSpPr>
            <xdr:spPr>
              <a:xfrm rot="10800000">
                <a:off x="3543300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79" name="Arc 78">
                <a:extLst>
                  <a:ext uri="{FF2B5EF4-FFF2-40B4-BE49-F238E27FC236}">
                    <a16:creationId xmlns:a16="http://schemas.microsoft.com/office/drawing/2014/main" id="{00000000-0008-0000-0300-00004F000000}"/>
                  </a:ext>
                </a:extLst>
              </xdr:cNvPr>
              <xdr:cNvSpPr/>
            </xdr:nvSpPr>
            <xdr:spPr>
              <a:xfrm rot="10800000">
                <a:off x="3562350" y="49625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0" name="Arc 79">
                <a:extLst>
                  <a:ext uri="{FF2B5EF4-FFF2-40B4-BE49-F238E27FC236}">
                    <a16:creationId xmlns:a16="http://schemas.microsoft.com/office/drawing/2014/main" id="{00000000-0008-0000-0300-000050000000}"/>
                  </a:ext>
                </a:extLst>
              </xdr:cNvPr>
              <xdr:cNvSpPr/>
            </xdr:nvSpPr>
            <xdr:spPr>
              <a:xfrm rot="10800000">
                <a:off x="3305175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" name="Arc 80">
                <a:extLst>
                  <a:ext uri="{FF2B5EF4-FFF2-40B4-BE49-F238E27FC236}">
                    <a16:creationId xmlns:a16="http://schemas.microsoft.com/office/drawing/2014/main" id="{00000000-0008-0000-0300-000051000000}"/>
                  </a:ext>
                </a:extLst>
              </xdr:cNvPr>
              <xdr:cNvSpPr/>
            </xdr:nvSpPr>
            <xdr:spPr>
              <a:xfrm rot="9829482">
                <a:off x="4095749" y="4857751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2" name="Arc 81">
                <a:extLst>
                  <a:ext uri="{FF2B5EF4-FFF2-40B4-BE49-F238E27FC236}">
                    <a16:creationId xmlns:a16="http://schemas.microsoft.com/office/drawing/2014/main" id="{00000000-0008-0000-0300-000052000000}"/>
                  </a:ext>
                </a:extLst>
              </xdr:cNvPr>
              <xdr:cNvSpPr/>
            </xdr:nvSpPr>
            <xdr:spPr>
              <a:xfrm rot="9861198">
                <a:off x="3867150" y="49244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3" name="Arc 82">
                <a:extLst>
                  <a:ext uri="{FF2B5EF4-FFF2-40B4-BE49-F238E27FC236}">
                    <a16:creationId xmlns:a16="http://schemas.microsoft.com/office/drawing/2014/main" id="{00000000-0008-0000-0300-000053000000}"/>
                  </a:ext>
                </a:extLst>
              </xdr:cNvPr>
              <xdr:cNvSpPr/>
            </xdr:nvSpPr>
            <xdr:spPr>
              <a:xfrm rot="10800000" flipH="1">
                <a:off x="3609975" y="47339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4" name="Arc 83">
                <a:extLst>
                  <a:ext uri="{FF2B5EF4-FFF2-40B4-BE49-F238E27FC236}">
                    <a16:creationId xmlns:a16="http://schemas.microsoft.com/office/drawing/2014/main" id="{00000000-0008-0000-0300-000054000000}"/>
                  </a:ext>
                </a:extLst>
              </xdr:cNvPr>
              <xdr:cNvSpPr/>
            </xdr:nvSpPr>
            <xdr:spPr>
              <a:xfrm rot="10800000" flipH="1">
                <a:off x="3876675" y="47625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5" name="Arc 84">
                <a:extLst>
                  <a:ext uri="{FF2B5EF4-FFF2-40B4-BE49-F238E27FC236}">
                    <a16:creationId xmlns:a16="http://schemas.microsoft.com/office/drawing/2014/main" id="{00000000-0008-0000-0300-000055000000}"/>
                  </a:ext>
                </a:extLst>
              </xdr:cNvPr>
              <xdr:cNvSpPr/>
            </xdr:nvSpPr>
            <xdr:spPr>
              <a:xfrm rot="10800000" flipH="1">
                <a:off x="4114800" y="48387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6" name="Arc 85">
                <a:extLst>
                  <a:ext uri="{FF2B5EF4-FFF2-40B4-BE49-F238E27FC236}">
                    <a16:creationId xmlns:a16="http://schemas.microsoft.com/office/drawing/2014/main" id="{00000000-0008-0000-0300-000056000000}"/>
                  </a:ext>
                </a:extLst>
              </xdr:cNvPr>
              <xdr:cNvSpPr/>
            </xdr:nvSpPr>
            <xdr:spPr>
              <a:xfrm rot="10800000" flipH="1">
                <a:off x="4191000" y="470535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</xdr:grpSp>
      </xdr:grpSp>
    </xdr:grpSp>
    <xdr:clientData/>
  </xdr:twoCellAnchor>
  <xdr:twoCellAnchor>
    <xdr:from>
      <xdr:col>16</xdr:col>
      <xdr:colOff>91109</xdr:colOff>
      <xdr:row>80</xdr:row>
      <xdr:rowOff>107672</xdr:rowOff>
    </xdr:from>
    <xdr:to>
      <xdr:col>21</xdr:col>
      <xdr:colOff>192675</xdr:colOff>
      <xdr:row>88</xdr:row>
      <xdr:rowOff>39649</xdr:rowOff>
    </xdr:to>
    <xdr:grpSp>
      <xdr:nvGrpSpPr>
        <xdr:cNvPr id="102" name="Cooling tower wet natural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GrpSpPr/>
      </xdr:nvGrpSpPr>
      <xdr:grpSpPr>
        <a:xfrm>
          <a:off x="5301284" y="13118822"/>
          <a:ext cx="1292191" cy="1227377"/>
          <a:chOff x="6701118" y="5524500"/>
          <a:chExt cx="1180936" cy="1268400"/>
        </a:xfrm>
      </xdr:grpSpPr>
      <xdr:grpSp>
        <xdr:nvGrpSpPr>
          <xdr:cNvPr id="103" name="Group 102">
            <a:extLst>
              <a:ext uri="{FF2B5EF4-FFF2-40B4-BE49-F238E27FC236}">
                <a16:creationId xmlns:a16="http://schemas.microsoft.com/office/drawing/2014/main" id="{00000000-0008-0000-0300-000067000000}"/>
              </a:ext>
            </a:extLst>
          </xdr:cNvPr>
          <xdr:cNvGrpSpPr/>
        </xdr:nvGrpSpPr>
        <xdr:grpSpPr>
          <a:xfrm rot="10800000">
            <a:off x="6977991" y="5524500"/>
            <a:ext cx="904063" cy="257176"/>
            <a:chOff x="3305175" y="4676775"/>
            <a:chExt cx="1457325" cy="504825"/>
          </a:xfrm>
        </xdr:grpSpPr>
        <xdr:sp macro="" textlink="">
          <xdr:nvSpPr>
            <xdr:cNvPr id="131" name="Arc 130">
              <a:extLst>
                <a:ext uri="{FF2B5EF4-FFF2-40B4-BE49-F238E27FC236}">
                  <a16:creationId xmlns:a16="http://schemas.microsoft.com/office/drawing/2014/main" id="{00000000-0008-0000-0300-000083000000}"/>
                </a:ext>
              </a:extLst>
            </xdr:cNvPr>
            <xdr:cNvSpPr/>
          </xdr:nvSpPr>
          <xdr:spPr>
            <a:xfrm rot="10800000">
              <a:off x="3619500" y="46767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2" name="Arc 131">
              <a:extLst>
                <a:ext uri="{FF2B5EF4-FFF2-40B4-BE49-F238E27FC236}">
                  <a16:creationId xmlns:a16="http://schemas.microsoft.com/office/drawing/2014/main" id="{00000000-0008-0000-0300-000084000000}"/>
                </a:ext>
              </a:extLst>
            </xdr:cNvPr>
            <xdr:cNvSpPr/>
          </xdr:nvSpPr>
          <xdr:spPr>
            <a:xfrm rot="10800000">
              <a:off x="3543300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3" name="Arc 132">
              <a:extLst>
                <a:ext uri="{FF2B5EF4-FFF2-40B4-BE49-F238E27FC236}">
                  <a16:creationId xmlns:a16="http://schemas.microsoft.com/office/drawing/2014/main" id="{00000000-0008-0000-0300-000085000000}"/>
                </a:ext>
              </a:extLst>
            </xdr:cNvPr>
            <xdr:cNvSpPr/>
          </xdr:nvSpPr>
          <xdr:spPr>
            <a:xfrm rot="10800000">
              <a:off x="3562350" y="49625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4" name="Arc 133">
              <a:extLst>
                <a:ext uri="{FF2B5EF4-FFF2-40B4-BE49-F238E27FC236}">
                  <a16:creationId xmlns:a16="http://schemas.microsoft.com/office/drawing/2014/main" id="{00000000-0008-0000-0300-000086000000}"/>
                </a:ext>
              </a:extLst>
            </xdr:cNvPr>
            <xdr:cNvSpPr/>
          </xdr:nvSpPr>
          <xdr:spPr>
            <a:xfrm rot="10800000">
              <a:off x="3305175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5" name="Arc 134">
              <a:extLst>
                <a:ext uri="{FF2B5EF4-FFF2-40B4-BE49-F238E27FC236}">
                  <a16:creationId xmlns:a16="http://schemas.microsoft.com/office/drawing/2014/main" id="{00000000-0008-0000-0300-000087000000}"/>
                </a:ext>
              </a:extLst>
            </xdr:cNvPr>
            <xdr:cNvSpPr/>
          </xdr:nvSpPr>
          <xdr:spPr>
            <a:xfrm rot="9829482">
              <a:off x="4095749" y="4857751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6" name="Arc 135">
              <a:extLst>
                <a:ext uri="{FF2B5EF4-FFF2-40B4-BE49-F238E27FC236}">
                  <a16:creationId xmlns:a16="http://schemas.microsoft.com/office/drawing/2014/main" id="{00000000-0008-0000-0300-000088000000}"/>
                </a:ext>
              </a:extLst>
            </xdr:cNvPr>
            <xdr:cNvSpPr/>
          </xdr:nvSpPr>
          <xdr:spPr>
            <a:xfrm rot="9861198">
              <a:off x="3867150" y="49244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7" name="Arc 136">
              <a:extLst>
                <a:ext uri="{FF2B5EF4-FFF2-40B4-BE49-F238E27FC236}">
                  <a16:creationId xmlns:a16="http://schemas.microsoft.com/office/drawing/2014/main" id="{00000000-0008-0000-0300-000089000000}"/>
                </a:ext>
              </a:extLst>
            </xdr:cNvPr>
            <xdr:cNvSpPr/>
          </xdr:nvSpPr>
          <xdr:spPr>
            <a:xfrm rot="10800000" flipH="1">
              <a:off x="3609975" y="47339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8" name="Arc 137">
              <a:extLst>
                <a:ext uri="{FF2B5EF4-FFF2-40B4-BE49-F238E27FC236}">
                  <a16:creationId xmlns:a16="http://schemas.microsoft.com/office/drawing/2014/main" id="{00000000-0008-0000-0300-00008A000000}"/>
                </a:ext>
              </a:extLst>
            </xdr:cNvPr>
            <xdr:cNvSpPr/>
          </xdr:nvSpPr>
          <xdr:spPr>
            <a:xfrm rot="10800000" flipH="1">
              <a:off x="3876675" y="47625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39" name="Arc 138">
              <a:extLst>
                <a:ext uri="{FF2B5EF4-FFF2-40B4-BE49-F238E27FC236}">
                  <a16:creationId xmlns:a16="http://schemas.microsoft.com/office/drawing/2014/main" id="{00000000-0008-0000-0300-00008B000000}"/>
                </a:ext>
              </a:extLst>
            </xdr:cNvPr>
            <xdr:cNvSpPr/>
          </xdr:nvSpPr>
          <xdr:spPr>
            <a:xfrm rot="10800000" flipH="1">
              <a:off x="4114800" y="48387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40" name="Arc 139">
              <a:extLst>
                <a:ext uri="{FF2B5EF4-FFF2-40B4-BE49-F238E27FC236}">
                  <a16:creationId xmlns:a16="http://schemas.microsoft.com/office/drawing/2014/main" id="{00000000-0008-0000-0300-00008C000000}"/>
                </a:ext>
              </a:extLst>
            </xdr:cNvPr>
            <xdr:cNvSpPr/>
          </xdr:nvSpPr>
          <xdr:spPr>
            <a:xfrm rot="10800000" flipH="1">
              <a:off x="4191000" y="470535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104" name="Group 103">
            <a:extLst>
              <a:ext uri="{FF2B5EF4-FFF2-40B4-BE49-F238E27FC236}">
                <a16:creationId xmlns:a16="http://schemas.microsoft.com/office/drawing/2014/main" id="{00000000-0008-0000-0300-000068000000}"/>
              </a:ext>
            </a:extLst>
          </xdr:cNvPr>
          <xdr:cNvGrpSpPr/>
        </xdr:nvGrpSpPr>
        <xdr:grpSpPr>
          <a:xfrm>
            <a:off x="6701118" y="5676900"/>
            <a:ext cx="936731" cy="1116000"/>
            <a:chOff x="3152775" y="7962899"/>
            <a:chExt cx="936000" cy="1116000"/>
          </a:xfrm>
        </xdr:grpSpPr>
        <xdr:grpSp>
          <xdr:nvGrpSpPr>
            <xdr:cNvPr id="105" name="Group 104">
              <a:extLst>
                <a:ext uri="{FF2B5EF4-FFF2-40B4-BE49-F238E27FC236}">
                  <a16:creationId xmlns:a16="http://schemas.microsoft.com/office/drawing/2014/main" id="{00000000-0008-0000-0300-000069000000}"/>
                </a:ext>
              </a:extLst>
            </xdr:cNvPr>
            <xdr:cNvGrpSpPr/>
          </xdr:nvGrpSpPr>
          <xdr:grpSpPr>
            <a:xfrm>
              <a:off x="3152775" y="7962899"/>
              <a:ext cx="936000" cy="1116000"/>
              <a:chOff x="2507454" y="5393121"/>
              <a:chExt cx="1460960" cy="1645353"/>
            </a:xfrm>
          </xdr:grpSpPr>
          <xdr:sp macro="" textlink="">
            <xdr:nvSpPr>
              <xdr:cNvPr id="128" name="Freeform 127">
                <a:extLst>
                  <a:ext uri="{FF2B5EF4-FFF2-40B4-BE49-F238E27FC236}">
                    <a16:creationId xmlns:a16="http://schemas.microsoft.com/office/drawing/2014/main" id="{00000000-0008-0000-0300-000080000000}"/>
                  </a:ext>
                </a:extLst>
              </xdr:cNvPr>
              <xdr:cNvSpPr/>
            </xdr:nvSpPr>
            <xdr:spPr>
              <a:xfrm>
                <a:off x="2508509" y="5393121"/>
                <a:ext cx="1459905" cy="1645352"/>
              </a:xfrm>
              <a:custGeom>
                <a:avLst/>
                <a:gdLst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69328 w 1898128"/>
                  <a:gd name="connsiteY0" fmla="*/ 2095500 h 2095500"/>
                  <a:gd name="connsiteX1" fmla="*/ 69328 w 1898128"/>
                  <a:gd name="connsiteY1" fmla="*/ 1724025 h 2095500"/>
                  <a:gd name="connsiteX2" fmla="*/ 31228 w 1898128"/>
                  <a:gd name="connsiteY2" fmla="*/ 714375 h 2095500"/>
                  <a:gd name="connsiteX3" fmla="*/ 678928 w 1898128"/>
                  <a:gd name="connsiteY3" fmla="*/ 0 h 2095500"/>
                  <a:gd name="connsiteX4" fmla="*/ 1298053 w 1898128"/>
                  <a:gd name="connsiteY4" fmla="*/ 0 h 2095500"/>
                  <a:gd name="connsiteX5" fmla="*/ 1898128 w 1898128"/>
                  <a:gd name="connsiteY5" fmla="*/ 1724025 h 2095500"/>
                  <a:gd name="connsiteX6" fmla="*/ 1898128 w 1898128"/>
                  <a:gd name="connsiteY6" fmla="*/ 2095500 h 2095500"/>
                  <a:gd name="connsiteX7" fmla="*/ 69328 w 1898128"/>
                  <a:gd name="connsiteY7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93999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93999 w 1828800"/>
                  <a:gd name="connsiteY6" fmla="*/ 2095500 h 2095500"/>
                  <a:gd name="connsiteX0" fmla="*/ 0 w 1734801"/>
                  <a:gd name="connsiteY0" fmla="*/ 2095500 h 2095500"/>
                  <a:gd name="connsiteX1" fmla="*/ 10445 w 1734801"/>
                  <a:gd name="connsiteY1" fmla="*/ 1713224 h 2095500"/>
                  <a:gd name="connsiteX2" fmla="*/ 515601 w 1734801"/>
                  <a:gd name="connsiteY2" fmla="*/ 0 h 2095500"/>
                  <a:gd name="connsiteX3" fmla="*/ 1134726 w 1734801"/>
                  <a:gd name="connsiteY3" fmla="*/ 0 h 2095500"/>
                  <a:gd name="connsiteX4" fmla="*/ 1734801 w 1734801"/>
                  <a:gd name="connsiteY4" fmla="*/ 1724025 h 2095500"/>
                  <a:gd name="connsiteX5" fmla="*/ 1734801 w 1734801"/>
                  <a:gd name="connsiteY5" fmla="*/ 2095500 h 2095500"/>
                  <a:gd name="connsiteX6" fmla="*/ 0 w 1734801"/>
                  <a:gd name="connsiteY6" fmla="*/ 2095500 h 2095500"/>
                  <a:gd name="connsiteX0" fmla="*/ 0 w 1734801"/>
                  <a:gd name="connsiteY0" fmla="*/ 2095500 h 2095500"/>
                  <a:gd name="connsiteX1" fmla="*/ 3025 w 1734801"/>
                  <a:gd name="connsiteY1" fmla="*/ 1713224 h 2095500"/>
                  <a:gd name="connsiteX2" fmla="*/ 515601 w 1734801"/>
                  <a:gd name="connsiteY2" fmla="*/ 0 h 2095500"/>
                  <a:gd name="connsiteX3" fmla="*/ 1134726 w 1734801"/>
                  <a:gd name="connsiteY3" fmla="*/ 0 h 2095500"/>
                  <a:gd name="connsiteX4" fmla="*/ 1734801 w 1734801"/>
                  <a:gd name="connsiteY4" fmla="*/ 1724025 h 2095500"/>
                  <a:gd name="connsiteX5" fmla="*/ 1734801 w 1734801"/>
                  <a:gd name="connsiteY5" fmla="*/ 2095500 h 2095500"/>
                  <a:gd name="connsiteX6" fmla="*/ 0 w 1734801"/>
                  <a:gd name="connsiteY6" fmla="*/ 2095500 h 20955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734801" h="2095500">
                    <a:moveTo>
                      <a:pt x="0" y="2095500"/>
                    </a:moveTo>
                    <a:cubicBezTo>
                      <a:pt x="1008" y="1968075"/>
                      <a:pt x="2017" y="1840649"/>
                      <a:pt x="3025" y="1713224"/>
                    </a:cubicBezTo>
                    <a:cubicBezTo>
                      <a:pt x="495150" y="716274"/>
                      <a:pt x="604528" y="575059"/>
                      <a:pt x="515601" y="0"/>
                    </a:cubicBezTo>
                    <a:lnTo>
                      <a:pt x="1134726" y="0"/>
                    </a:lnTo>
                    <a:cubicBezTo>
                      <a:pt x="1023936" y="644306"/>
                      <a:pt x="1430001" y="1168400"/>
                      <a:pt x="1734801" y="1724025"/>
                    </a:cubicBezTo>
                    <a:lnTo>
                      <a:pt x="1734801" y="2095500"/>
                    </a:lnTo>
                    <a:lnTo>
                      <a:pt x="0" y="2095500"/>
                    </a:lnTo>
                    <a:close/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129" name="Rectangle 128">
                <a:extLst>
                  <a:ext uri="{FF2B5EF4-FFF2-40B4-BE49-F238E27FC236}">
                    <a16:creationId xmlns:a16="http://schemas.microsoft.com/office/drawing/2014/main" id="{00000000-0008-0000-0300-000081000000}"/>
                  </a:ext>
                </a:extLst>
              </xdr:cNvPr>
              <xdr:cNvSpPr/>
            </xdr:nvSpPr>
            <xdr:spPr>
              <a:xfrm>
                <a:off x="2507454" y="6743328"/>
                <a:ext cx="1459146" cy="295146"/>
              </a:xfrm>
              <a:prstGeom prst="rect">
                <a:avLst/>
              </a:prstGeom>
              <a:solidFill>
                <a:schemeClr val="bg1">
                  <a:lumMod val="8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130" name="Freeform 129">
                <a:extLst>
                  <a:ext uri="{FF2B5EF4-FFF2-40B4-BE49-F238E27FC236}">
                    <a16:creationId xmlns:a16="http://schemas.microsoft.com/office/drawing/2014/main" id="{00000000-0008-0000-0300-000082000000}"/>
                  </a:ext>
                </a:extLst>
              </xdr:cNvPr>
              <xdr:cNvSpPr/>
            </xdr:nvSpPr>
            <xdr:spPr>
              <a:xfrm>
                <a:off x="2515684" y="6740739"/>
                <a:ext cx="1450915" cy="297735"/>
              </a:xfrm>
              <a:custGeom>
                <a:avLst/>
                <a:gdLst>
                  <a:gd name="connsiteX0" fmla="*/ 0 w 2225843"/>
                  <a:gd name="connsiteY0" fmla="*/ 225592 h 230605"/>
                  <a:gd name="connsiteX1" fmla="*/ 220579 w 2225843"/>
                  <a:gd name="connsiteY1" fmla="*/ 5013 h 230605"/>
                  <a:gd name="connsiteX2" fmla="*/ 441158 w 2225843"/>
                  <a:gd name="connsiteY2" fmla="*/ 225592 h 230605"/>
                  <a:gd name="connsiteX3" fmla="*/ 661737 w 2225843"/>
                  <a:gd name="connsiteY3" fmla="*/ 5013 h 230605"/>
                  <a:gd name="connsiteX4" fmla="*/ 882316 w 2225843"/>
                  <a:gd name="connsiteY4" fmla="*/ 225592 h 230605"/>
                  <a:gd name="connsiteX5" fmla="*/ 1102895 w 2225843"/>
                  <a:gd name="connsiteY5" fmla="*/ 5013 h 230605"/>
                  <a:gd name="connsiteX6" fmla="*/ 1323474 w 2225843"/>
                  <a:gd name="connsiteY6" fmla="*/ 225592 h 230605"/>
                  <a:gd name="connsiteX7" fmla="*/ 1544053 w 2225843"/>
                  <a:gd name="connsiteY7" fmla="*/ 5013 h 230605"/>
                  <a:gd name="connsiteX8" fmla="*/ 1764632 w 2225843"/>
                  <a:gd name="connsiteY8" fmla="*/ 225592 h 230605"/>
                  <a:gd name="connsiteX9" fmla="*/ 1990224 w 2225843"/>
                  <a:gd name="connsiteY9" fmla="*/ 0 h 230605"/>
                  <a:gd name="connsiteX10" fmla="*/ 2220829 w 2225843"/>
                  <a:gd name="connsiteY10" fmla="*/ 230605 h 230605"/>
                  <a:gd name="connsiteX11" fmla="*/ 2225843 w 2225843"/>
                  <a:gd name="connsiteY11" fmla="*/ 230605 h 2306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</a:cxnLst>
                <a:rect l="l" t="t" r="r" b="b"/>
                <a:pathLst>
                  <a:path w="2225843" h="230605">
                    <a:moveTo>
                      <a:pt x="0" y="225592"/>
                    </a:moveTo>
                    <a:lnTo>
                      <a:pt x="220579" y="5013"/>
                    </a:lnTo>
                    <a:lnTo>
                      <a:pt x="441158" y="225592"/>
                    </a:lnTo>
                    <a:lnTo>
                      <a:pt x="661737" y="5013"/>
                    </a:lnTo>
                    <a:lnTo>
                      <a:pt x="882316" y="225592"/>
                    </a:lnTo>
                    <a:lnTo>
                      <a:pt x="1102895" y="5013"/>
                    </a:lnTo>
                    <a:lnTo>
                      <a:pt x="1323474" y="225592"/>
                    </a:lnTo>
                    <a:lnTo>
                      <a:pt x="1544053" y="5013"/>
                    </a:lnTo>
                    <a:lnTo>
                      <a:pt x="1764632" y="225592"/>
                    </a:lnTo>
                    <a:lnTo>
                      <a:pt x="1990224" y="0"/>
                    </a:lnTo>
                    <a:lnTo>
                      <a:pt x="2220829" y="230605"/>
                    </a:lnTo>
                    <a:lnTo>
                      <a:pt x="2225843" y="230605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300-00006A000000}"/>
                </a:ext>
              </a:extLst>
            </xdr:cNvPr>
            <xdr:cNvGrpSpPr/>
          </xdr:nvGrpSpPr>
          <xdr:grpSpPr>
            <a:xfrm>
              <a:off x="3224525" y="8583067"/>
              <a:ext cx="652987" cy="31010"/>
              <a:chOff x="2344966" y="7534275"/>
              <a:chExt cx="1488596" cy="66674"/>
            </a:xfrm>
          </xdr:grpSpPr>
          <xdr:cxnSp macro="">
            <xdr:nvCxnSpPr>
              <xdr:cNvPr id="107" name="Straight Connector 106">
                <a:extLst>
                  <a:ext uri="{FF2B5EF4-FFF2-40B4-BE49-F238E27FC236}">
                    <a16:creationId xmlns:a16="http://schemas.microsoft.com/office/drawing/2014/main" id="{00000000-0008-0000-0300-00006B000000}"/>
                  </a:ext>
                </a:extLst>
              </xdr:cNvPr>
              <xdr:cNvCxnSpPr/>
            </xdr:nvCxnSpPr>
            <xdr:spPr>
              <a:xfrm>
                <a:off x="2344966" y="7534275"/>
                <a:ext cx="1411369" cy="0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grpSp>
            <xdr:nvGrpSpPr>
              <xdr:cNvPr id="108" name="Group 107">
                <a:extLst>
                  <a:ext uri="{FF2B5EF4-FFF2-40B4-BE49-F238E27FC236}">
                    <a16:creationId xmlns:a16="http://schemas.microsoft.com/office/drawing/2014/main" id="{00000000-0008-0000-0300-00006C000000}"/>
                  </a:ext>
                </a:extLst>
              </xdr:cNvPr>
              <xdr:cNvGrpSpPr/>
            </xdr:nvGrpSpPr>
            <xdr:grpSpPr>
              <a:xfrm>
                <a:off x="2664921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124" name="Straight Connector 123">
                  <a:extLst>
                    <a:ext uri="{FF2B5EF4-FFF2-40B4-BE49-F238E27FC236}">
                      <a16:creationId xmlns:a16="http://schemas.microsoft.com/office/drawing/2014/main" id="{00000000-0008-0000-0300-00007C00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5" name="Straight Connector 124">
                  <a:extLst>
                    <a:ext uri="{FF2B5EF4-FFF2-40B4-BE49-F238E27FC236}">
                      <a16:creationId xmlns:a16="http://schemas.microsoft.com/office/drawing/2014/main" id="{00000000-0008-0000-0300-00007D00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6" name="Straight Connector 125">
                  <a:extLst>
                    <a:ext uri="{FF2B5EF4-FFF2-40B4-BE49-F238E27FC236}">
                      <a16:creationId xmlns:a16="http://schemas.microsoft.com/office/drawing/2014/main" id="{00000000-0008-0000-0300-00007E00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7" name="Straight Connector 126">
                  <a:extLst>
                    <a:ext uri="{FF2B5EF4-FFF2-40B4-BE49-F238E27FC236}">
                      <a16:creationId xmlns:a16="http://schemas.microsoft.com/office/drawing/2014/main" id="{00000000-0008-0000-0300-00007F00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09" name="Group 108">
                <a:extLst>
                  <a:ext uri="{FF2B5EF4-FFF2-40B4-BE49-F238E27FC236}">
                    <a16:creationId xmlns:a16="http://schemas.microsoft.com/office/drawing/2014/main" id="{00000000-0008-0000-0300-00006D000000}"/>
                  </a:ext>
                </a:extLst>
              </xdr:cNvPr>
              <xdr:cNvGrpSpPr/>
            </xdr:nvGrpSpPr>
            <xdr:grpSpPr>
              <a:xfrm>
                <a:off x="3660298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120" name="Straight Connector 119">
                  <a:extLst>
                    <a:ext uri="{FF2B5EF4-FFF2-40B4-BE49-F238E27FC236}">
                      <a16:creationId xmlns:a16="http://schemas.microsoft.com/office/drawing/2014/main" id="{00000000-0008-0000-0300-00007800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1" name="Straight Connector 120">
                  <a:extLst>
                    <a:ext uri="{FF2B5EF4-FFF2-40B4-BE49-F238E27FC236}">
                      <a16:creationId xmlns:a16="http://schemas.microsoft.com/office/drawing/2014/main" id="{00000000-0008-0000-0300-00007900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2" name="Straight Connector 121">
                  <a:extLst>
                    <a:ext uri="{FF2B5EF4-FFF2-40B4-BE49-F238E27FC236}">
                      <a16:creationId xmlns:a16="http://schemas.microsoft.com/office/drawing/2014/main" id="{00000000-0008-0000-0300-00007A00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23" name="Straight Connector 122">
                  <a:extLst>
                    <a:ext uri="{FF2B5EF4-FFF2-40B4-BE49-F238E27FC236}">
                      <a16:creationId xmlns:a16="http://schemas.microsoft.com/office/drawing/2014/main" id="{00000000-0008-0000-0300-00007B00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10" name="Group 109">
                <a:extLst>
                  <a:ext uri="{FF2B5EF4-FFF2-40B4-BE49-F238E27FC236}">
                    <a16:creationId xmlns:a16="http://schemas.microsoft.com/office/drawing/2014/main" id="{00000000-0008-0000-0300-00006E000000}"/>
                  </a:ext>
                </a:extLst>
              </xdr:cNvPr>
              <xdr:cNvGrpSpPr/>
            </xdr:nvGrpSpPr>
            <xdr:grpSpPr>
              <a:xfrm>
                <a:off x="3328506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116" name="Straight Connector 115">
                  <a:extLst>
                    <a:ext uri="{FF2B5EF4-FFF2-40B4-BE49-F238E27FC236}">
                      <a16:creationId xmlns:a16="http://schemas.microsoft.com/office/drawing/2014/main" id="{00000000-0008-0000-0300-00007400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7" name="Straight Connector 116">
                  <a:extLst>
                    <a:ext uri="{FF2B5EF4-FFF2-40B4-BE49-F238E27FC236}">
                      <a16:creationId xmlns:a16="http://schemas.microsoft.com/office/drawing/2014/main" id="{00000000-0008-0000-0300-00007500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8" name="Straight Connector 117">
                  <a:extLst>
                    <a:ext uri="{FF2B5EF4-FFF2-40B4-BE49-F238E27FC236}">
                      <a16:creationId xmlns:a16="http://schemas.microsoft.com/office/drawing/2014/main" id="{00000000-0008-0000-0300-00007600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9" name="Straight Connector 118">
                  <a:extLst>
                    <a:ext uri="{FF2B5EF4-FFF2-40B4-BE49-F238E27FC236}">
                      <a16:creationId xmlns:a16="http://schemas.microsoft.com/office/drawing/2014/main" id="{00000000-0008-0000-0300-00007700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11" name="Group 110">
                <a:extLst>
                  <a:ext uri="{FF2B5EF4-FFF2-40B4-BE49-F238E27FC236}">
                    <a16:creationId xmlns:a16="http://schemas.microsoft.com/office/drawing/2014/main" id="{00000000-0008-0000-0300-00006F000000}"/>
                  </a:ext>
                </a:extLst>
              </xdr:cNvPr>
              <xdr:cNvGrpSpPr/>
            </xdr:nvGrpSpPr>
            <xdr:grpSpPr>
              <a:xfrm>
                <a:off x="2996714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112" name="Straight Connector 111">
                  <a:extLst>
                    <a:ext uri="{FF2B5EF4-FFF2-40B4-BE49-F238E27FC236}">
                      <a16:creationId xmlns:a16="http://schemas.microsoft.com/office/drawing/2014/main" id="{00000000-0008-0000-0300-00007000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Straight Connector 112">
                  <a:extLst>
                    <a:ext uri="{FF2B5EF4-FFF2-40B4-BE49-F238E27FC236}">
                      <a16:creationId xmlns:a16="http://schemas.microsoft.com/office/drawing/2014/main" id="{00000000-0008-0000-0300-00007100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4" name="Straight Connector 113">
                  <a:extLst>
                    <a:ext uri="{FF2B5EF4-FFF2-40B4-BE49-F238E27FC236}">
                      <a16:creationId xmlns:a16="http://schemas.microsoft.com/office/drawing/2014/main" id="{00000000-0008-0000-0300-00007200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5" name="Straight Connector 114">
                  <a:extLst>
                    <a:ext uri="{FF2B5EF4-FFF2-40B4-BE49-F238E27FC236}">
                      <a16:creationId xmlns:a16="http://schemas.microsoft.com/office/drawing/2014/main" id="{00000000-0008-0000-0300-00007300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</xdr:grpSp>
    </xdr:grpSp>
    <xdr:clientData/>
  </xdr:twoCellAnchor>
  <xdr:twoCellAnchor>
    <xdr:from>
      <xdr:col>14</xdr:col>
      <xdr:colOff>101771</xdr:colOff>
      <xdr:row>158</xdr:row>
      <xdr:rowOff>92506</xdr:rowOff>
    </xdr:from>
    <xdr:to>
      <xdr:col>26</xdr:col>
      <xdr:colOff>17360</xdr:colOff>
      <xdr:row>160</xdr:row>
      <xdr:rowOff>103952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GrpSpPr/>
      </xdr:nvGrpSpPr>
      <xdr:grpSpPr>
        <a:xfrm>
          <a:off x="4854746" y="26171956"/>
          <a:ext cx="2811189" cy="335296"/>
          <a:chOff x="2990850" y="3238500"/>
          <a:chExt cx="3448050" cy="419099"/>
        </a:xfrm>
      </xdr:grpSpPr>
      <xdr:sp macro="" textlink="">
        <xdr:nvSpPr>
          <xdr:cNvPr id="454" name="Rectangle 138">
            <a:extLst>
              <a:ext uri="{FF2B5EF4-FFF2-40B4-BE49-F238E27FC236}">
                <a16:creationId xmlns:a16="http://schemas.microsoft.com/office/drawing/2014/main" id="{00000000-0008-0000-0300-0000C6010000}"/>
              </a:ext>
            </a:extLst>
          </xdr:cNvPr>
          <xdr:cNvSpPr/>
        </xdr:nvSpPr>
        <xdr:spPr>
          <a:xfrm>
            <a:off x="2990850" y="3238500"/>
            <a:ext cx="3448050" cy="419099"/>
          </a:xfrm>
          <a:custGeom>
            <a:avLst/>
            <a:gdLst>
              <a:gd name="connsiteX0" fmla="*/ 0 w 3048000"/>
              <a:gd name="connsiteY0" fmla="*/ 0 h 419099"/>
              <a:gd name="connsiteX1" fmla="*/ 3048000 w 3048000"/>
              <a:gd name="connsiteY1" fmla="*/ 0 h 419099"/>
              <a:gd name="connsiteX2" fmla="*/ 3048000 w 3048000"/>
              <a:gd name="connsiteY2" fmla="*/ 419099 h 419099"/>
              <a:gd name="connsiteX3" fmla="*/ 0 w 3048000"/>
              <a:gd name="connsiteY3" fmla="*/ 419099 h 419099"/>
              <a:gd name="connsiteX4" fmla="*/ 0 w 3048000"/>
              <a:gd name="connsiteY4" fmla="*/ 0 h 419099"/>
              <a:gd name="connsiteX0" fmla="*/ 0 w 3200400"/>
              <a:gd name="connsiteY0" fmla="*/ 0 h 419099"/>
              <a:gd name="connsiteX1" fmla="*/ 3200400 w 3200400"/>
              <a:gd name="connsiteY1" fmla="*/ 0 h 419099"/>
              <a:gd name="connsiteX2" fmla="*/ 3200400 w 3200400"/>
              <a:gd name="connsiteY2" fmla="*/ 419099 h 419099"/>
              <a:gd name="connsiteX3" fmla="*/ 152400 w 3200400"/>
              <a:gd name="connsiteY3" fmla="*/ 419099 h 419099"/>
              <a:gd name="connsiteX4" fmla="*/ 0 w 3200400"/>
              <a:gd name="connsiteY4" fmla="*/ 0 h 419099"/>
              <a:gd name="connsiteX0" fmla="*/ 0 w 3400425"/>
              <a:gd name="connsiteY0" fmla="*/ 0 h 419099"/>
              <a:gd name="connsiteX1" fmla="*/ 3200400 w 3400425"/>
              <a:gd name="connsiteY1" fmla="*/ 0 h 419099"/>
              <a:gd name="connsiteX2" fmla="*/ 3400425 w 3400425"/>
              <a:gd name="connsiteY2" fmla="*/ 409574 h 419099"/>
              <a:gd name="connsiteX3" fmla="*/ 152400 w 3400425"/>
              <a:gd name="connsiteY3" fmla="*/ 419099 h 419099"/>
              <a:gd name="connsiteX4" fmla="*/ 0 w 3400425"/>
              <a:gd name="connsiteY4" fmla="*/ 0 h 419099"/>
              <a:gd name="connsiteX0" fmla="*/ 0 w 3448050"/>
              <a:gd name="connsiteY0" fmla="*/ 0 h 419099"/>
              <a:gd name="connsiteX1" fmla="*/ 3248025 w 3448050"/>
              <a:gd name="connsiteY1" fmla="*/ 0 h 419099"/>
              <a:gd name="connsiteX2" fmla="*/ 3448050 w 3448050"/>
              <a:gd name="connsiteY2" fmla="*/ 409574 h 419099"/>
              <a:gd name="connsiteX3" fmla="*/ 200025 w 3448050"/>
              <a:gd name="connsiteY3" fmla="*/ 419099 h 419099"/>
              <a:gd name="connsiteX4" fmla="*/ 0 w 3448050"/>
              <a:gd name="connsiteY4" fmla="*/ 0 h 4190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448050" h="419099">
                <a:moveTo>
                  <a:pt x="0" y="0"/>
                </a:moveTo>
                <a:lnTo>
                  <a:pt x="3248025" y="0"/>
                </a:lnTo>
                <a:lnTo>
                  <a:pt x="3448050" y="409574"/>
                </a:lnTo>
                <a:lnTo>
                  <a:pt x="200025" y="419099"/>
                </a:lnTo>
                <a:lnTo>
                  <a:pt x="0" y="0"/>
                </a:lnTo>
                <a:close/>
              </a:path>
            </a:pathLst>
          </a:custGeom>
          <a:solidFill>
            <a:schemeClr val="bg1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455" name="Straight Connector 454">
            <a:extLst>
              <a:ext uri="{FF2B5EF4-FFF2-40B4-BE49-F238E27FC236}">
                <a16:creationId xmlns:a16="http://schemas.microsoft.com/office/drawing/2014/main" id="{00000000-0008-0000-0300-0000C7010000}"/>
              </a:ext>
            </a:extLst>
          </xdr:cNvPr>
          <xdr:cNvCxnSpPr/>
        </xdr:nvCxnSpPr>
        <xdr:spPr>
          <a:xfrm>
            <a:off x="3009900" y="3257550"/>
            <a:ext cx="3238500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6" name="Straight Connector 455">
            <a:extLst>
              <a:ext uri="{FF2B5EF4-FFF2-40B4-BE49-F238E27FC236}">
                <a16:creationId xmlns:a16="http://schemas.microsoft.com/office/drawing/2014/main" id="{00000000-0008-0000-0300-0000C8010000}"/>
              </a:ext>
            </a:extLst>
          </xdr:cNvPr>
          <xdr:cNvCxnSpPr/>
        </xdr:nvCxnSpPr>
        <xdr:spPr>
          <a:xfrm>
            <a:off x="3209925" y="3648075"/>
            <a:ext cx="3209925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7" name="TextBox 456">
            <a:extLst>
              <a:ext uri="{FF2B5EF4-FFF2-40B4-BE49-F238E27FC236}">
                <a16:creationId xmlns:a16="http://schemas.microsoft.com/office/drawing/2014/main" id="{00000000-0008-0000-0300-0000C9010000}"/>
              </a:ext>
            </a:extLst>
          </xdr:cNvPr>
          <xdr:cNvSpPr txBox="1"/>
        </xdr:nvSpPr>
        <xdr:spPr>
          <a:xfrm>
            <a:off x="4306383" y="3334788"/>
            <a:ext cx="1152525" cy="171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River</a:t>
            </a: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300-0000CA010000}"/>
              </a:ext>
            </a:extLst>
          </xdr:cNvPr>
          <xdr:cNvCxnSpPr/>
        </xdr:nvCxnSpPr>
        <xdr:spPr>
          <a:xfrm flipH="1">
            <a:off x="4457700" y="3514725"/>
            <a:ext cx="648000" cy="0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76708</xdr:colOff>
      <xdr:row>122</xdr:row>
      <xdr:rowOff>122426</xdr:rowOff>
    </xdr:from>
    <xdr:to>
      <xdr:col>12</xdr:col>
      <xdr:colOff>117433</xdr:colOff>
      <xdr:row>134</xdr:row>
      <xdr:rowOff>159504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GrpSpPr/>
      </xdr:nvGrpSpPr>
      <xdr:grpSpPr>
        <a:xfrm>
          <a:off x="2438908" y="20334476"/>
          <a:ext cx="1974300" cy="1980178"/>
          <a:chOff x="2956909" y="10252792"/>
          <a:chExt cx="3320555" cy="3411662"/>
        </a:xfrm>
      </xdr:grpSpPr>
      <xdr:grpSp>
        <xdr:nvGrpSpPr>
          <xdr:cNvPr id="460" name="Turbine">
            <a:extLst>
              <a:ext uri="{FF2B5EF4-FFF2-40B4-BE49-F238E27FC236}">
                <a16:creationId xmlns:a16="http://schemas.microsoft.com/office/drawing/2014/main" id="{00000000-0008-0000-0300-0000CC010000}"/>
              </a:ext>
            </a:extLst>
          </xdr:cNvPr>
          <xdr:cNvGrpSpPr/>
        </xdr:nvGrpSpPr>
        <xdr:grpSpPr>
          <a:xfrm flipH="1">
            <a:off x="3840918" y="10384911"/>
            <a:ext cx="1856712" cy="1243500"/>
            <a:chOff x="9572125" y="4713379"/>
            <a:chExt cx="1018486" cy="1197133"/>
          </a:xfrm>
        </xdr:grpSpPr>
        <xdr:sp macro="" textlink="">
          <xdr:nvSpPr>
            <xdr:cNvPr id="487" name="Rectangle 486">
              <a:extLst>
                <a:ext uri="{FF2B5EF4-FFF2-40B4-BE49-F238E27FC236}">
                  <a16:creationId xmlns:a16="http://schemas.microsoft.com/office/drawing/2014/main" id="{00000000-0008-0000-0300-0000E7010000}"/>
                </a:ext>
              </a:extLst>
            </xdr:cNvPr>
            <xdr:cNvSpPr/>
          </xdr:nvSpPr>
          <xdr:spPr>
            <a:xfrm>
              <a:off x="10341143" y="4831682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88" name="Rectangle 487">
              <a:extLst>
                <a:ext uri="{FF2B5EF4-FFF2-40B4-BE49-F238E27FC236}">
                  <a16:creationId xmlns:a16="http://schemas.microsoft.com/office/drawing/2014/main" id="{00000000-0008-0000-0300-0000E8010000}"/>
                </a:ext>
              </a:extLst>
            </xdr:cNvPr>
            <xdr:cNvSpPr/>
          </xdr:nvSpPr>
          <xdr:spPr>
            <a:xfrm>
              <a:off x="9637295" y="5586664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89" name="Trapezoid 488">
              <a:extLst>
                <a:ext uri="{FF2B5EF4-FFF2-40B4-BE49-F238E27FC236}">
                  <a16:creationId xmlns:a16="http://schemas.microsoft.com/office/drawing/2014/main" id="{00000000-0008-0000-0300-0000E9010000}"/>
                </a:ext>
              </a:extLst>
            </xdr:cNvPr>
            <xdr:cNvSpPr/>
          </xdr:nvSpPr>
          <xdr:spPr>
            <a:xfrm rot="5400000" flipH="1">
              <a:off x="9577642" y="4713870"/>
              <a:ext cx="1007451" cy="1018486"/>
            </a:xfrm>
            <a:prstGeom prst="trapezoid">
              <a:avLst>
                <a:gd name="adj" fmla="val 32812"/>
              </a:avLst>
            </a:prstGeom>
            <a:solidFill>
              <a:schemeClr val="bg1"/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90" name="Rectangle 489">
              <a:extLst>
                <a:ext uri="{FF2B5EF4-FFF2-40B4-BE49-F238E27FC236}">
                  <a16:creationId xmlns:a16="http://schemas.microsoft.com/office/drawing/2014/main" id="{00000000-0008-0000-0300-0000EA010000}"/>
                </a:ext>
              </a:extLst>
            </xdr:cNvPr>
            <xdr:cNvSpPr/>
          </xdr:nvSpPr>
          <xdr:spPr>
            <a:xfrm>
              <a:off x="9663479" y="5468361"/>
              <a:ext cx="141675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91" name="Rectangle 490">
              <a:extLst>
                <a:ext uri="{FF2B5EF4-FFF2-40B4-BE49-F238E27FC236}">
                  <a16:creationId xmlns:a16="http://schemas.microsoft.com/office/drawing/2014/main" id="{00000000-0008-0000-0300-0000EB010000}"/>
                </a:ext>
              </a:extLst>
            </xdr:cNvPr>
            <xdr:cNvSpPr/>
          </xdr:nvSpPr>
          <xdr:spPr>
            <a:xfrm>
              <a:off x="10352171" y="4713379"/>
              <a:ext cx="165433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92" name="TextBox 491">
              <a:extLst>
                <a:ext uri="{FF2B5EF4-FFF2-40B4-BE49-F238E27FC236}">
                  <a16:creationId xmlns:a16="http://schemas.microsoft.com/office/drawing/2014/main" id="{00000000-0008-0000-0300-0000EC010000}"/>
                </a:ext>
              </a:extLst>
            </xdr:cNvPr>
            <xdr:cNvSpPr txBox="1"/>
          </xdr:nvSpPr>
          <xdr:spPr>
            <a:xfrm>
              <a:off x="9639489" y="5058815"/>
              <a:ext cx="823316" cy="28441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pPr algn="ctr"/>
              <a:r>
                <a:rPr lang="en-GB" sz="900"/>
                <a:t>Steam turbine</a:t>
              </a:r>
            </a:p>
          </xdr:txBody>
        </xdr:sp>
      </xdr:grpSp>
      <xdr:cxnSp macro="">
        <xdr:nvCxnSpPr>
          <xdr:cNvPr id="461" name="Elbow Connector 460">
            <a:extLst>
              <a:ext uri="{FF2B5EF4-FFF2-40B4-BE49-F238E27FC236}">
                <a16:creationId xmlns:a16="http://schemas.microsoft.com/office/drawing/2014/main" id="{00000000-0008-0000-0300-0000CD010000}"/>
              </a:ext>
            </a:extLst>
          </xdr:cNvPr>
          <xdr:cNvCxnSpPr/>
        </xdr:nvCxnSpPr>
        <xdr:spPr>
          <a:xfrm rot="10800000" flipV="1">
            <a:off x="3335432" y="12832056"/>
            <a:ext cx="2054699" cy="554491"/>
          </a:xfrm>
          <a:prstGeom prst="bentConnector3">
            <a:avLst>
              <a:gd name="adj1" fmla="val -110"/>
            </a:avLst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2" name="Elbow Connector 461">
            <a:extLst>
              <a:ext uri="{FF2B5EF4-FFF2-40B4-BE49-F238E27FC236}">
                <a16:creationId xmlns:a16="http://schemas.microsoft.com/office/drawing/2014/main" id="{00000000-0008-0000-0300-0000CE010000}"/>
              </a:ext>
            </a:extLst>
          </xdr:cNvPr>
          <xdr:cNvCxnSpPr/>
        </xdr:nvCxnSpPr>
        <xdr:spPr>
          <a:xfrm>
            <a:off x="3182271" y="10268926"/>
            <a:ext cx="922518" cy="337038"/>
          </a:xfrm>
          <a:prstGeom prst="bentConnector2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63" name="TextBox 462">
            <a:extLst>
              <a:ext uri="{FF2B5EF4-FFF2-40B4-BE49-F238E27FC236}">
                <a16:creationId xmlns:a16="http://schemas.microsoft.com/office/drawing/2014/main" id="{00000000-0008-0000-0300-0000CF010000}"/>
              </a:ext>
            </a:extLst>
          </xdr:cNvPr>
          <xdr:cNvSpPr txBox="1"/>
        </xdr:nvSpPr>
        <xdr:spPr>
          <a:xfrm>
            <a:off x="3746477" y="13430250"/>
            <a:ext cx="1185776" cy="2342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Condensate</a:t>
            </a:r>
          </a:p>
        </xdr:txBody>
      </xdr:sp>
      <xdr:sp macro="" textlink="">
        <xdr:nvSpPr>
          <xdr:cNvPr id="464" name="TextBox 463">
            <a:extLst>
              <a:ext uri="{FF2B5EF4-FFF2-40B4-BE49-F238E27FC236}">
                <a16:creationId xmlns:a16="http://schemas.microsoft.com/office/drawing/2014/main" id="{00000000-0008-0000-0300-0000D0010000}"/>
              </a:ext>
            </a:extLst>
          </xdr:cNvPr>
          <xdr:cNvSpPr txBox="1"/>
        </xdr:nvSpPr>
        <xdr:spPr>
          <a:xfrm>
            <a:off x="2956909" y="10252792"/>
            <a:ext cx="1174577" cy="3247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Steam</a:t>
            </a:r>
          </a:p>
        </xdr:txBody>
      </xdr:sp>
      <xdr:grpSp>
        <xdr:nvGrpSpPr>
          <xdr:cNvPr id="465" name="Condenser Surface">
            <a:extLst>
              <a:ext uri="{FF2B5EF4-FFF2-40B4-BE49-F238E27FC236}">
                <a16:creationId xmlns:a16="http://schemas.microsoft.com/office/drawing/2014/main" id="{00000000-0008-0000-0300-0000D1010000}"/>
              </a:ext>
            </a:extLst>
          </xdr:cNvPr>
          <xdr:cNvGrpSpPr/>
        </xdr:nvGrpSpPr>
        <xdr:grpSpPr>
          <a:xfrm>
            <a:off x="4602517" y="11628924"/>
            <a:ext cx="1674947" cy="1201752"/>
            <a:chOff x="446484" y="32599312"/>
            <a:chExt cx="1308281" cy="946442"/>
          </a:xfrm>
        </xdr:grpSpPr>
        <xdr:grpSp>
          <xdr:nvGrpSpPr>
            <xdr:cNvPr id="466" name="Group 465">
              <a:extLst>
                <a:ext uri="{FF2B5EF4-FFF2-40B4-BE49-F238E27FC236}">
                  <a16:creationId xmlns:a16="http://schemas.microsoft.com/office/drawing/2014/main" id="{00000000-0008-0000-0300-0000D2010000}"/>
                </a:ext>
              </a:extLst>
            </xdr:cNvPr>
            <xdr:cNvGrpSpPr/>
          </xdr:nvGrpSpPr>
          <xdr:grpSpPr>
            <a:xfrm>
              <a:off x="446484" y="32599312"/>
              <a:ext cx="1308281" cy="946442"/>
              <a:chOff x="470858" y="35630288"/>
              <a:chExt cx="1308281" cy="946442"/>
            </a:xfrm>
          </xdr:grpSpPr>
          <xdr:sp macro="" textlink="">
            <xdr:nvSpPr>
              <xdr:cNvPr id="478" name="Freeform 477">
                <a:extLst>
                  <a:ext uri="{FF2B5EF4-FFF2-40B4-BE49-F238E27FC236}">
                    <a16:creationId xmlns:a16="http://schemas.microsoft.com/office/drawing/2014/main" id="{00000000-0008-0000-0300-0000DE010000}"/>
                  </a:ext>
                </a:extLst>
              </xdr:cNvPr>
              <xdr:cNvSpPr/>
            </xdr:nvSpPr>
            <xdr:spPr>
              <a:xfrm>
                <a:off x="843606" y="36454605"/>
                <a:ext cx="562786" cy="119560"/>
              </a:xfrm>
              <a:custGeom>
                <a:avLst/>
                <a:gdLst>
                  <a:gd name="connsiteX0" fmla="*/ 0 w 1410510"/>
                  <a:gd name="connsiteY0" fmla="*/ 50247 h 111048"/>
                  <a:gd name="connsiteX1" fmla="*/ 52691 w 1410510"/>
                  <a:gd name="connsiteY1" fmla="*/ 1609 h 111048"/>
                  <a:gd name="connsiteX2" fmla="*/ 137808 w 1410510"/>
                  <a:gd name="connsiteY2" fmla="*/ 102939 h 111048"/>
                  <a:gd name="connsiteX3" fmla="*/ 243191 w 1410510"/>
                  <a:gd name="connsiteY3" fmla="*/ 13768 h 111048"/>
                  <a:gd name="connsiteX4" fmla="*/ 344521 w 1410510"/>
                  <a:gd name="connsiteY4" fmla="*/ 106992 h 111048"/>
                  <a:gd name="connsiteX5" fmla="*/ 433691 w 1410510"/>
                  <a:gd name="connsiteY5" fmla="*/ 17822 h 111048"/>
                  <a:gd name="connsiteX6" fmla="*/ 535021 w 1410510"/>
                  <a:gd name="connsiteY6" fmla="*/ 102939 h 111048"/>
                  <a:gd name="connsiteX7" fmla="*/ 636351 w 1410510"/>
                  <a:gd name="connsiteY7" fmla="*/ 13768 h 111048"/>
                  <a:gd name="connsiteX8" fmla="*/ 701202 w 1410510"/>
                  <a:gd name="connsiteY8" fmla="*/ 106992 h 111048"/>
                  <a:gd name="connsiteX9" fmla="*/ 794425 w 1410510"/>
                  <a:gd name="connsiteY9" fmla="*/ 17822 h 111048"/>
                  <a:gd name="connsiteX10" fmla="*/ 891702 w 1410510"/>
                  <a:gd name="connsiteY10" fmla="*/ 111045 h 111048"/>
                  <a:gd name="connsiteX11" fmla="*/ 956553 w 1410510"/>
                  <a:gd name="connsiteY11" fmla="*/ 21875 h 111048"/>
                  <a:gd name="connsiteX12" fmla="*/ 1070042 w 1410510"/>
                  <a:gd name="connsiteY12" fmla="*/ 102939 h 111048"/>
                  <a:gd name="connsiteX13" fmla="*/ 1155159 w 1410510"/>
                  <a:gd name="connsiteY13" fmla="*/ 21875 h 111048"/>
                  <a:gd name="connsiteX14" fmla="*/ 1232170 w 1410510"/>
                  <a:gd name="connsiteY14" fmla="*/ 111045 h 111048"/>
                  <a:gd name="connsiteX15" fmla="*/ 1317287 w 1410510"/>
                  <a:gd name="connsiteY15" fmla="*/ 17822 h 111048"/>
                  <a:gd name="connsiteX16" fmla="*/ 1410510 w 1410510"/>
                  <a:gd name="connsiteY16" fmla="*/ 70513 h 111048"/>
                  <a:gd name="connsiteX0" fmla="*/ 0 w 1418616"/>
                  <a:gd name="connsiteY0" fmla="*/ 50247 h 128541"/>
                  <a:gd name="connsiteX1" fmla="*/ 52691 w 1418616"/>
                  <a:gd name="connsiteY1" fmla="*/ 1609 h 128541"/>
                  <a:gd name="connsiteX2" fmla="*/ 137808 w 1418616"/>
                  <a:gd name="connsiteY2" fmla="*/ 102939 h 128541"/>
                  <a:gd name="connsiteX3" fmla="*/ 243191 w 1418616"/>
                  <a:gd name="connsiteY3" fmla="*/ 13768 h 128541"/>
                  <a:gd name="connsiteX4" fmla="*/ 344521 w 1418616"/>
                  <a:gd name="connsiteY4" fmla="*/ 106992 h 128541"/>
                  <a:gd name="connsiteX5" fmla="*/ 433691 w 1418616"/>
                  <a:gd name="connsiteY5" fmla="*/ 17822 h 128541"/>
                  <a:gd name="connsiteX6" fmla="*/ 535021 w 1418616"/>
                  <a:gd name="connsiteY6" fmla="*/ 102939 h 128541"/>
                  <a:gd name="connsiteX7" fmla="*/ 636351 w 1418616"/>
                  <a:gd name="connsiteY7" fmla="*/ 13768 h 128541"/>
                  <a:gd name="connsiteX8" fmla="*/ 701202 w 1418616"/>
                  <a:gd name="connsiteY8" fmla="*/ 106992 h 128541"/>
                  <a:gd name="connsiteX9" fmla="*/ 794425 w 1418616"/>
                  <a:gd name="connsiteY9" fmla="*/ 17822 h 128541"/>
                  <a:gd name="connsiteX10" fmla="*/ 891702 w 1418616"/>
                  <a:gd name="connsiteY10" fmla="*/ 111045 h 128541"/>
                  <a:gd name="connsiteX11" fmla="*/ 956553 w 1418616"/>
                  <a:gd name="connsiteY11" fmla="*/ 21875 h 128541"/>
                  <a:gd name="connsiteX12" fmla="*/ 1070042 w 1418616"/>
                  <a:gd name="connsiteY12" fmla="*/ 102939 h 128541"/>
                  <a:gd name="connsiteX13" fmla="*/ 1155159 w 1418616"/>
                  <a:gd name="connsiteY13" fmla="*/ 21875 h 128541"/>
                  <a:gd name="connsiteX14" fmla="*/ 1232170 w 1418616"/>
                  <a:gd name="connsiteY14" fmla="*/ 111045 h 128541"/>
                  <a:gd name="connsiteX15" fmla="*/ 1317287 w 1418616"/>
                  <a:gd name="connsiteY15" fmla="*/ 17822 h 128541"/>
                  <a:gd name="connsiteX16" fmla="*/ 1418616 w 1418616"/>
                  <a:gd name="connsiteY16" fmla="*/ 128541 h 128541"/>
                  <a:gd name="connsiteX0" fmla="*/ 0 w 1418616"/>
                  <a:gd name="connsiteY0" fmla="*/ 267983 h 267983"/>
                  <a:gd name="connsiteX1" fmla="*/ 52691 w 1418616"/>
                  <a:gd name="connsiteY1" fmla="*/ 3816 h 267983"/>
                  <a:gd name="connsiteX2" fmla="*/ 137808 w 1418616"/>
                  <a:gd name="connsiteY2" fmla="*/ 105146 h 267983"/>
                  <a:gd name="connsiteX3" fmla="*/ 243191 w 1418616"/>
                  <a:gd name="connsiteY3" fmla="*/ 15975 h 267983"/>
                  <a:gd name="connsiteX4" fmla="*/ 344521 w 1418616"/>
                  <a:gd name="connsiteY4" fmla="*/ 109199 h 267983"/>
                  <a:gd name="connsiteX5" fmla="*/ 433691 w 1418616"/>
                  <a:gd name="connsiteY5" fmla="*/ 20029 h 267983"/>
                  <a:gd name="connsiteX6" fmla="*/ 535021 w 1418616"/>
                  <a:gd name="connsiteY6" fmla="*/ 105146 h 267983"/>
                  <a:gd name="connsiteX7" fmla="*/ 636351 w 1418616"/>
                  <a:gd name="connsiteY7" fmla="*/ 15975 h 267983"/>
                  <a:gd name="connsiteX8" fmla="*/ 701202 w 1418616"/>
                  <a:gd name="connsiteY8" fmla="*/ 109199 h 267983"/>
                  <a:gd name="connsiteX9" fmla="*/ 794425 w 1418616"/>
                  <a:gd name="connsiteY9" fmla="*/ 20029 h 267983"/>
                  <a:gd name="connsiteX10" fmla="*/ 891702 w 1418616"/>
                  <a:gd name="connsiteY10" fmla="*/ 113252 h 267983"/>
                  <a:gd name="connsiteX11" fmla="*/ 956553 w 1418616"/>
                  <a:gd name="connsiteY11" fmla="*/ 24082 h 267983"/>
                  <a:gd name="connsiteX12" fmla="*/ 1070042 w 1418616"/>
                  <a:gd name="connsiteY12" fmla="*/ 105146 h 267983"/>
                  <a:gd name="connsiteX13" fmla="*/ 1155159 w 1418616"/>
                  <a:gd name="connsiteY13" fmla="*/ 24082 h 267983"/>
                  <a:gd name="connsiteX14" fmla="*/ 1232170 w 1418616"/>
                  <a:gd name="connsiteY14" fmla="*/ 113252 h 267983"/>
                  <a:gd name="connsiteX15" fmla="*/ 1317287 w 1418616"/>
                  <a:gd name="connsiteY15" fmla="*/ 20029 h 267983"/>
                  <a:gd name="connsiteX16" fmla="*/ 1418616 w 1418616"/>
                  <a:gd name="connsiteY16" fmla="*/ 130748 h 267983"/>
                  <a:gd name="connsiteX0" fmla="*/ 0 w 1418616"/>
                  <a:gd name="connsiteY0" fmla="*/ 264488 h 264488"/>
                  <a:gd name="connsiteX1" fmla="*/ 28372 w 1418616"/>
                  <a:gd name="connsiteY1" fmla="*/ 142917 h 264488"/>
                  <a:gd name="connsiteX2" fmla="*/ 52691 w 1418616"/>
                  <a:gd name="connsiteY2" fmla="*/ 321 h 264488"/>
                  <a:gd name="connsiteX3" fmla="*/ 137808 w 1418616"/>
                  <a:gd name="connsiteY3" fmla="*/ 101651 h 264488"/>
                  <a:gd name="connsiteX4" fmla="*/ 243191 w 1418616"/>
                  <a:gd name="connsiteY4" fmla="*/ 12480 h 264488"/>
                  <a:gd name="connsiteX5" fmla="*/ 344521 w 1418616"/>
                  <a:gd name="connsiteY5" fmla="*/ 105704 h 264488"/>
                  <a:gd name="connsiteX6" fmla="*/ 433691 w 1418616"/>
                  <a:gd name="connsiteY6" fmla="*/ 16534 h 264488"/>
                  <a:gd name="connsiteX7" fmla="*/ 535021 w 1418616"/>
                  <a:gd name="connsiteY7" fmla="*/ 101651 h 264488"/>
                  <a:gd name="connsiteX8" fmla="*/ 636351 w 1418616"/>
                  <a:gd name="connsiteY8" fmla="*/ 12480 h 264488"/>
                  <a:gd name="connsiteX9" fmla="*/ 701202 w 1418616"/>
                  <a:gd name="connsiteY9" fmla="*/ 105704 h 264488"/>
                  <a:gd name="connsiteX10" fmla="*/ 794425 w 1418616"/>
                  <a:gd name="connsiteY10" fmla="*/ 16534 h 264488"/>
                  <a:gd name="connsiteX11" fmla="*/ 891702 w 1418616"/>
                  <a:gd name="connsiteY11" fmla="*/ 109757 h 264488"/>
                  <a:gd name="connsiteX12" fmla="*/ 956553 w 1418616"/>
                  <a:gd name="connsiteY12" fmla="*/ 20587 h 264488"/>
                  <a:gd name="connsiteX13" fmla="*/ 1070042 w 1418616"/>
                  <a:gd name="connsiteY13" fmla="*/ 101651 h 264488"/>
                  <a:gd name="connsiteX14" fmla="*/ 1155159 w 1418616"/>
                  <a:gd name="connsiteY14" fmla="*/ 20587 h 264488"/>
                  <a:gd name="connsiteX15" fmla="*/ 1232170 w 1418616"/>
                  <a:gd name="connsiteY15" fmla="*/ 109757 h 264488"/>
                  <a:gd name="connsiteX16" fmla="*/ 1317287 w 1418616"/>
                  <a:gd name="connsiteY16" fmla="*/ 16534 h 264488"/>
                  <a:gd name="connsiteX17" fmla="*/ 1418616 w 1418616"/>
                  <a:gd name="connsiteY17" fmla="*/ 127253 h 264488"/>
                  <a:gd name="connsiteX0" fmla="*/ 6551 w 1425167"/>
                  <a:gd name="connsiteY0" fmla="*/ 264181 h 264181"/>
                  <a:gd name="connsiteX1" fmla="*/ 2498 w 1425167"/>
                  <a:gd name="connsiteY1" fmla="*/ 109451 h 264181"/>
                  <a:gd name="connsiteX2" fmla="*/ 59242 w 1425167"/>
                  <a:gd name="connsiteY2" fmla="*/ 14 h 264181"/>
                  <a:gd name="connsiteX3" fmla="*/ 144359 w 1425167"/>
                  <a:gd name="connsiteY3" fmla="*/ 101344 h 264181"/>
                  <a:gd name="connsiteX4" fmla="*/ 249742 w 1425167"/>
                  <a:gd name="connsiteY4" fmla="*/ 12173 h 264181"/>
                  <a:gd name="connsiteX5" fmla="*/ 351072 w 1425167"/>
                  <a:gd name="connsiteY5" fmla="*/ 105397 h 264181"/>
                  <a:gd name="connsiteX6" fmla="*/ 440242 w 1425167"/>
                  <a:gd name="connsiteY6" fmla="*/ 16227 h 264181"/>
                  <a:gd name="connsiteX7" fmla="*/ 541572 w 1425167"/>
                  <a:gd name="connsiteY7" fmla="*/ 101344 h 264181"/>
                  <a:gd name="connsiteX8" fmla="*/ 642902 w 1425167"/>
                  <a:gd name="connsiteY8" fmla="*/ 12173 h 264181"/>
                  <a:gd name="connsiteX9" fmla="*/ 707753 w 1425167"/>
                  <a:gd name="connsiteY9" fmla="*/ 105397 h 264181"/>
                  <a:gd name="connsiteX10" fmla="*/ 800976 w 1425167"/>
                  <a:gd name="connsiteY10" fmla="*/ 16227 h 264181"/>
                  <a:gd name="connsiteX11" fmla="*/ 898253 w 1425167"/>
                  <a:gd name="connsiteY11" fmla="*/ 109450 h 264181"/>
                  <a:gd name="connsiteX12" fmla="*/ 963104 w 1425167"/>
                  <a:gd name="connsiteY12" fmla="*/ 20280 h 264181"/>
                  <a:gd name="connsiteX13" fmla="*/ 1076593 w 1425167"/>
                  <a:gd name="connsiteY13" fmla="*/ 101344 h 264181"/>
                  <a:gd name="connsiteX14" fmla="*/ 1161710 w 1425167"/>
                  <a:gd name="connsiteY14" fmla="*/ 20280 h 264181"/>
                  <a:gd name="connsiteX15" fmla="*/ 1238721 w 1425167"/>
                  <a:gd name="connsiteY15" fmla="*/ 109450 h 264181"/>
                  <a:gd name="connsiteX16" fmla="*/ 1323838 w 1425167"/>
                  <a:gd name="connsiteY16" fmla="*/ 16227 h 264181"/>
                  <a:gd name="connsiteX17" fmla="*/ 1425167 w 1425167"/>
                  <a:gd name="connsiteY17" fmla="*/ 126946 h 264181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408954 w 1408954"/>
                  <a:gd name="connsiteY17" fmla="*/ 267869 h 267869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372477 w 1408954"/>
                  <a:gd name="connsiteY17" fmla="*/ 184056 h 267869"/>
                  <a:gd name="connsiteX18" fmla="*/ 1408954 w 1408954"/>
                  <a:gd name="connsiteY18" fmla="*/ 267869 h 267869"/>
                  <a:gd name="connsiteX0" fmla="*/ 6551 w 1424741"/>
                  <a:gd name="connsiteY0" fmla="*/ 264181 h 267869"/>
                  <a:gd name="connsiteX1" fmla="*/ 2498 w 1424741"/>
                  <a:gd name="connsiteY1" fmla="*/ 109451 h 267869"/>
                  <a:gd name="connsiteX2" fmla="*/ 59242 w 1424741"/>
                  <a:gd name="connsiteY2" fmla="*/ 14 h 267869"/>
                  <a:gd name="connsiteX3" fmla="*/ 144359 w 1424741"/>
                  <a:gd name="connsiteY3" fmla="*/ 101344 h 267869"/>
                  <a:gd name="connsiteX4" fmla="*/ 249742 w 1424741"/>
                  <a:gd name="connsiteY4" fmla="*/ 12173 h 267869"/>
                  <a:gd name="connsiteX5" fmla="*/ 351072 w 1424741"/>
                  <a:gd name="connsiteY5" fmla="*/ 105397 h 267869"/>
                  <a:gd name="connsiteX6" fmla="*/ 440242 w 1424741"/>
                  <a:gd name="connsiteY6" fmla="*/ 16227 h 267869"/>
                  <a:gd name="connsiteX7" fmla="*/ 541572 w 1424741"/>
                  <a:gd name="connsiteY7" fmla="*/ 101344 h 267869"/>
                  <a:gd name="connsiteX8" fmla="*/ 642902 w 1424741"/>
                  <a:gd name="connsiteY8" fmla="*/ 12173 h 267869"/>
                  <a:gd name="connsiteX9" fmla="*/ 707753 w 1424741"/>
                  <a:gd name="connsiteY9" fmla="*/ 105397 h 267869"/>
                  <a:gd name="connsiteX10" fmla="*/ 800976 w 1424741"/>
                  <a:gd name="connsiteY10" fmla="*/ 16227 h 267869"/>
                  <a:gd name="connsiteX11" fmla="*/ 898253 w 1424741"/>
                  <a:gd name="connsiteY11" fmla="*/ 109450 h 267869"/>
                  <a:gd name="connsiteX12" fmla="*/ 963104 w 1424741"/>
                  <a:gd name="connsiteY12" fmla="*/ 20280 h 267869"/>
                  <a:gd name="connsiteX13" fmla="*/ 1076593 w 1424741"/>
                  <a:gd name="connsiteY13" fmla="*/ 101344 h 267869"/>
                  <a:gd name="connsiteX14" fmla="*/ 1161710 w 1424741"/>
                  <a:gd name="connsiteY14" fmla="*/ 20280 h 267869"/>
                  <a:gd name="connsiteX15" fmla="*/ 1238721 w 1424741"/>
                  <a:gd name="connsiteY15" fmla="*/ 109450 h 267869"/>
                  <a:gd name="connsiteX16" fmla="*/ 1323838 w 1424741"/>
                  <a:gd name="connsiteY16" fmla="*/ 16227 h 267869"/>
                  <a:gd name="connsiteX17" fmla="*/ 1421115 w 1424741"/>
                  <a:gd name="connsiteY17" fmla="*/ 142608 h 267869"/>
                  <a:gd name="connsiteX18" fmla="*/ 1408954 w 1424741"/>
                  <a:gd name="connsiteY18" fmla="*/ 267869 h 267869"/>
                  <a:gd name="connsiteX0" fmla="*/ 6551 w 1426266"/>
                  <a:gd name="connsiteY0" fmla="*/ 264181 h 267869"/>
                  <a:gd name="connsiteX1" fmla="*/ 2498 w 1426266"/>
                  <a:gd name="connsiteY1" fmla="*/ 109451 h 267869"/>
                  <a:gd name="connsiteX2" fmla="*/ 59242 w 1426266"/>
                  <a:gd name="connsiteY2" fmla="*/ 14 h 267869"/>
                  <a:gd name="connsiteX3" fmla="*/ 144359 w 1426266"/>
                  <a:gd name="connsiteY3" fmla="*/ 101344 h 267869"/>
                  <a:gd name="connsiteX4" fmla="*/ 249742 w 1426266"/>
                  <a:gd name="connsiteY4" fmla="*/ 12173 h 267869"/>
                  <a:gd name="connsiteX5" fmla="*/ 351072 w 1426266"/>
                  <a:gd name="connsiteY5" fmla="*/ 105397 h 267869"/>
                  <a:gd name="connsiteX6" fmla="*/ 440242 w 1426266"/>
                  <a:gd name="connsiteY6" fmla="*/ 16227 h 267869"/>
                  <a:gd name="connsiteX7" fmla="*/ 541572 w 1426266"/>
                  <a:gd name="connsiteY7" fmla="*/ 101344 h 267869"/>
                  <a:gd name="connsiteX8" fmla="*/ 642902 w 1426266"/>
                  <a:gd name="connsiteY8" fmla="*/ 12173 h 267869"/>
                  <a:gd name="connsiteX9" fmla="*/ 707753 w 1426266"/>
                  <a:gd name="connsiteY9" fmla="*/ 105397 h 267869"/>
                  <a:gd name="connsiteX10" fmla="*/ 800976 w 1426266"/>
                  <a:gd name="connsiteY10" fmla="*/ 16227 h 267869"/>
                  <a:gd name="connsiteX11" fmla="*/ 898253 w 1426266"/>
                  <a:gd name="connsiteY11" fmla="*/ 109450 h 267869"/>
                  <a:gd name="connsiteX12" fmla="*/ 963104 w 1426266"/>
                  <a:gd name="connsiteY12" fmla="*/ 20280 h 267869"/>
                  <a:gd name="connsiteX13" fmla="*/ 1076593 w 1426266"/>
                  <a:gd name="connsiteY13" fmla="*/ 101344 h 267869"/>
                  <a:gd name="connsiteX14" fmla="*/ 1161710 w 1426266"/>
                  <a:gd name="connsiteY14" fmla="*/ 20280 h 267869"/>
                  <a:gd name="connsiteX15" fmla="*/ 1238721 w 1426266"/>
                  <a:gd name="connsiteY15" fmla="*/ 109450 h 267869"/>
                  <a:gd name="connsiteX16" fmla="*/ 1323838 w 1426266"/>
                  <a:gd name="connsiteY16" fmla="*/ 16227 h 267869"/>
                  <a:gd name="connsiteX17" fmla="*/ 1421115 w 1426266"/>
                  <a:gd name="connsiteY17" fmla="*/ 142608 h 267869"/>
                  <a:gd name="connsiteX18" fmla="*/ 1421110 w 1426266"/>
                  <a:gd name="connsiteY18" fmla="*/ 267869 h 267869"/>
                  <a:gd name="connsiteX0" fmla="*/ 6551 w 1421110"/>
                  <a:gd name="connsiteY0" fmla="*/ 264181 h 267869"/>
                  <a:gd name="connsiteX1" fmla="*/ 2498 w 1421110"/>
                  <a:gd name="connsiteY1" fmla="*/ 109451 h 267869"/>
                  <a:gd name="connsiteX2" fmla="*/ 59242 w 1421110"/>
                  <a:gd name="connsiteY2" fmla="*/ 14 h 267869"/>
                  <a:gd name="connsiteX3" fmla="*/ 144359 w 1421110"/>
                  <a:gd name="connsiteY3" fmla="*/ 101344 h 267869"/>
                  <a:gd name="connsiteX4" fmla="*/ 249742 w 1421110"/>
                  <a:gd name="connsiteY4" fmla="*/ 12173 h 267869"/>
                  <a:gd name="connsiteX5" fmla="*/ 351072 w 1421110"/>
                  <a:gd name="connsiteY5" fmla="*/ 105397 h 267869"/>
                  <a:gd name="connsiteX6" fmla="*/ 440242 w 1421110"/>
                  <a:gd name="connsiteY6" fmla="*/ 16227 h 267869"/>
                  <a:gd name="connsiteX7" fmla="*/ 541572 w 1421110"/>
                  <a:gd name="connsiteY7" fmla="*/ 101344 h 267869"/>
                  <a:gd name="connsiteX8" fmla="*/ 642902 w 1421110"/>
                  <a:gd name="connsiteY8" fmla="*/ 12173 h 267869"/>
                  <a:gd name="connsiteX9" fmla="*/ 707753 w 1421110"/>
                  <a:gd name="connsiteY9" fmla="*/ 105397 h 267869"/>
                  <a:gd name="connsiteX10" fmla="*/ 800976 w 1421110"/>
                  <a:gd name="connsiteY10" fmla="*/ 16227 h 267869"/>
                  <a:gd name="connsiteX11" fmla="*/ 898253 w 1421110"/>
                  <a:gd name="connsiteY11" fmla="*/ 109450 h 267869"/>
                  <a:gd name="connsiteX12" fmla="*/ 963104 w 1421110"/>
                  <a:gd name="connsiteY12" fmla="*/ 20280 h 267869"/>
                  <a:gd name="connsiteX13" fmla="*/ 1076593 w 1421110"/>
                  <a:gd name="connsiteY13" fmla="*/ 101344 h 267869"/>
                  <a:gd name="connsiteX14" fmla="*/ 1161710 w 1421110"/>
                  <a:gd name="connsiteY14" fmla="*/ 20280 h 267869"/>
                  <a:gd name="connsiteX15" fmla="*/ 1238721 w 1421110"/>
                  <a:gd name="connsiteY15" fmla="*/ 109450 h 267869"/>
                  <a:gd name="connsiteX16" fmla="*/ 1323838 w 1421110"/>
                  <a:gd name="connsiteY16" fmla="*/ 16227 h 267869"/>
                  <a:gd name="connsiteX17" fmla="*/ 1413010 w 1421110"/>
                  <a:gd name="connsiteY17" fmla="*/ 150897 h 267869"/>
                  <a:gd name="connsiteX18" fmla="*/ 1421110 w 1421110"/>
                  <a:gd name="connsiteY18" fmla="*/ 267869 h 26786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</a:cxnLst>
                <a:rect l="l" t="t" r="r" b="b"/>
                <a:pathLst>
                  <a:path w="1421110" h="267869">
                    <a:moveTo>
                      <a:pt x="6551" y="264181"/>
                    </a:moveTo>
                    <a:cubicBezTo>
                      <a:pt x="11280" y="243919"/>
                      <a:pt x="-6284" y="153479"/>
                      <a:pt x="2498" y="109451"/>
                    </a:cubicBezTo>
                    <a:cubicBezTo>
                      <a:pt x="11280" y="65423"/>
                      <a:pt x="35599" y="1365"/>
                      <a:pt x="59242" y="14"/>
                    </a:cubicBezTo>
                    <a:cubicBezTo>
                      <a:pt x="82885" y="-1337"/>
                      <a:pt x="112609" y="99318"/>
                      <a:pt x="144359" y="101344"/>
                    </a:cubicBezTo>
                    <a:cubicBezTo>
                      <a:pt x="176109" y="103370"/>
                      <a:pt x="215290" y="11498"/>
                      <a:pt x="249742" y="12173"/>
                    </a:cubicBezTo>
                    <a:cubicBezTo>
                      <a:pt x="284194" y="12848"/>
                      <a:pt x="319322" y="104721"/>
                      <a:pt x="351072" y="105397"/>
                    </a:cubicBezTo>
                    <a:cubicBezTo>
                      <a:pt x="382822" y="106073"/>
                      <a:pt x="408492" y="16902"/>
                      <a:pt x="440242" y="16227"/>
                    </a:cubicBezTo>
                    <a:cubicBezTo>
                      <a:pt x="471992" y="15552"/>
                      <a:pt x="507795" y="102020"/>
                      <a:pt x="541572" y="101344"/>
                    </a:cubicBezTo>
                    <a:cubicBezTo>
                      <a:pt x="575349" y="100668"/>
                      <a:pt x="615205" y="11498"/>
                      <a:pt x="642902" y="12173"/>
                    </a:cubicBezTo>
                    <a:cubicBezTo>
                      <a:pt x="670599" y="12848"/>
                      <a:pt x="681407" y="104721"/>
                      <a:pt x="707753" y="105397"/>
                    </a:cubicBezTo>
                    <a:cubicBezTo>
                      <a:pt x="734099" y="106073"/>
                      <a:pt x="769226" y="15552"/>
                      <a:pt x="800976" y="16227"/>
                    </a:cubicBezTo>
                    <a:cubicBezTo>
                      <a:pt x="832726" y="16902"/>
                      <a:pt x="871232" y="108775"/>
                      <a:pt x="898253" y="109450"/>
                    </a:cubicBezTo>
                    <a:cubicBezTo>
                      <a:pt x="925274" y="110126"/>
                      <a:pt x="933381" y="21631"/>
                      <a:pt x="963104" y="20280"/>
                    </a:cubicBezTo>
                    <a:cubicBezTo>
                      <a:pt x="992827" y="18929"/>
                      <a:pt x="1043492" y="101344"/>
                      <a:pt x="1076593" y="101344"/>
                    </a:cubicBezTo>
                    <a:cubicBezTo>
                      <a:pt x="1109694" y="101344"/>
                      <a:pt x="1134689" y="18929"/>
                      <a:pt x="1161710" y="20280"/>
                    </a:cubicBezTo>
                    <a:cubicBezTo>
                      <a:pt x="1188731" y="21631"/>
                      <a:pt x="1211700" y="110126"/>
                      <a:pt x="1238721" y="109450"/>
                    </a:cubicBezTo>
                    <a:cubicBezTo>
                      <a:pt x="1265742" y="108775"/>
                      <a:pt x="1294790" y="9319"/>
                      <a:pt x="1323838" y="16227"/>
                    </a:cubicBezTo>
                    <a:cubicBezTo>
                      <a:pt x="1352886" y="23135"/>
                      <a:pt x="1398824" y="108957"/>
                      <a:pt x="1413010" y="150897"/>
                    </a:cubicBezTo>
                    <a:cubicBezTo>
                      <a:pt x="1427196" y="192837"/>
                      <a:pt x="1415031" y="253900"/>
                      <a:pt x="1421110" y="267869"/>
                    </a:cubicBezTo>
                  </a:path>
                </a:pathLst>
              </a:custGeom>
              <a:solidFill>
                <a:schemeClr val="bg1">
                  <a:lumMod val="75000"/>
                </a:schemeClr>
              </a:solidFill>
              <a:ln w="952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9" name="Freeform 478">
                <a:extLst>
                  <a:ext uri="{FF2B5EF4-FFF2-40B4-BE49-F238E27FC236}">
                    <a16:creationId xmlns:a16="http://schemas.microsoft.com/office/drawing/2014/main" id="{00000000-0008-0000-0300-0000DF010000}"/>
                  </a:ext>
                </a:extLst>
              </xdr:cNvPr>
              <xdr:cNvSpPr/>
            </xdr:nvSpPr>
            <xdr:spPr>
              <a:xfrm>
                <a:off x="513468" y="35630288"/>
                <a:ext cx="1223063" cy="247421"/>
              </a:xfrm>
              <a:custGeom>
                <a:avLst/>
                <a:gdLst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748299 w 1901927"/>
                  <a:gd name="connsiteY4" fmla="*/ 193573 h 316476"/>
                  <a:gd name="connsiteX5" fmla="*/ 1898855 w 1901927"/>
                  <a:gd name="connsiteY5" fmla="*/ 193573 h 316476"/>
                  <a:gd name="connsiteX6" fmla="*/ 1898855 w 1901927"/>
                  <a:gd name="connsiteY6" fmla="*/ 316476 h 316476"/>
                  <a:gd name="connsiteX7" fmla="*/ 1901927 w 1901927"/>
                  <a:gd name="connsiteY7" fmla="*/ 310331 h 316476"/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898855 w 1901927"/>
                  <a:gd name="connsiteY4" fmla="*/ 193573 h 316476"/>
                  <a:gd name="connsiteX5" fmla="*/ 1898855 w 1901927"/>
                  <a:gd name="connsiteY5" fmla="*/ 316476 h 316476"/>
                  <a:gd name="connsiteX6" fmla="*/ 1901927 w 1901927"/>
                  <a:gd name="connsiteY6" fmla="*/ 310331 h 3164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901927" h="316476">
                    <a:moveTo>
                      <a:pt x="0" y="310331"/>
                    </a:moveTo>
                    <a:lnTo>
                      <a:pt x="0" y="193573"/>
                    </a:lnTo>
                    <a:lnTo>
                      <a:pt x="344129" y="0"/>
                    </a:lnTo>
                    <a:lnTo>
                      <a:pt x="1554726" y="0"/>
                    </a:lnTo>
                    <a:lnTo>
                      <a:pt x="1898855" y="193573"/>
                    </a:lnTo>
                    <a:lnTo>
                      <a:pt x="1898855" y="316476"/>
                    </a:lnTo>
                    <a:lnTo>
                      <a:pt x="1901927" y="310331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0" name="Rectangle 479">
                <a:extLst>
                  <a:ext uri="{FF2B5EF4-FFF2-40B4-BE49-F238E27FC236}">
                    <a16:creationId xmlns:a16="http://schemas.microsoft.com/office/drawing/2014/main" id="{00000000-0008-0000-0300-0000E0010000}"/>
                  </a:ext>
                </a:extLst>
              </xdr:cNvPr>
              <xdr:cNvSpPr/>
            </xdr:nvSpPr>
            <xdr:spPr>
              <a:xfrm>
                <a:off x="844831" y="36386096"/>
                <a:ext cx="560335" cy="19063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1" name="Rectangle 480">
                <a:extLst>
                  <a:ext uri="{FF2B5EF4-FFF2-40B4-BE49-F238E27FC236}">
                    <a16:creationId xmlns:a16="http://schemas.microsoft.com/office/drawing/2014/main" id="{00000000-0008-0000-0300-0000E1010000}"/>
                  </a:ext>
                </a:extLst>
              </xdr:cNvPr>
              <xdr:cNvSpPr/>
            </xdr:nvSpPr>
            <xdr:spPr>
              <a:xfrm>
                <a:off x="470858" y="35861128"/>
                <a:ext cx="1308281" cy="523236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2" name="Rectangle 481">
                <a:extLst>
                  <a:ext uri="{FF2B5EF4-FFF2-40B4-BE49-F238E27FC236}">
                    <a16:creationId xmlns:a16="http://schemas.microsoft.com/office/drawing/2014/main" id="{00000000-0008-0000-0300-0000E2010000}"/>
                  </a:ext>
                </a:extLst>
              </xdr:cNvPr>
              <xdr:cNvSpPr/>
            </xdr:nvSpPr>
            <xdr:spPr>
              <a:xfrm>
                <a:off x="521350" y="35915881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3" name="Rectangle 482">
                <a:extLst>
                  <a:ext uri="{FF2B5EF4-FFF2-40B4-BE49-F238E27FC236}">
                    <a16:creationId xmlns:a16="http://schemas.microsoft.com/office/drawing/2014/main" id="{00000000-0008-0000-0300-0000E3010000}"/>
                  </a:ext>
                </a:extLst>
              </xdr:cNvPr>
              <xdr:cNvSpPr/>
            </xdr:nvSpPr>
            <xdr:spPr>
              <a:xfrm>
                <a:off x="521350" y="36008750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4" name="Rectangle 483">
                <a:extLst>
                  <a:ext uri="{FF2B5EF4-FFF2-40B4-BE49-F238E27FC236}">
                    <a16:creationId xmlns:a16="http://schemas.microsoft.com/office/drawing/2014/main" id="{00000000-0008-0000-0300-0000E4010000}"/>
                  </a:ext>
                </a:extLst>
              </xdr:cNvPr>
              <xdr:cNvSpPr/>
            </xdr:nvSpPr>
            <xdr:spPr>
              <a:xfrm>
                <a:off x="521350" y="36101619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5" name="Rectangle 484">
                <a:extLst>
                  <a:ext uri="{FF2B5EF4-FFF2-40B4-BE49-F238E27FC236}">
                    <a16:creationId xmlns:a16="http://schemas.microsoft.com/office/drawing/2014/main" id="{00000000-0008-0000-0300-0000E5010000}"/>
                  </a:ext>
                </a:extLst>
              </xdr:cNvPr>
              <xdr:cNvSpPr/>
            </xdr:nvSpPr>
            <xdr:spPr>
              <a:xfrm>
                <a:off x="521350" y="36194488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86" name="Rectangle 485">
                <a:extLst>
                  <a:ext uri="{FF2B5EF4-FFF2-40B4-BE49-F238E27FC236}">
                    <a16:creationId xmlns:a16="http://schemas.microsoft.com/office/drawing/2014/main" id="{00000000-0008-0000-0300-0000E6010000}"/>
                  </a:ext>
                </a:extLst>
              </xdr:cNvPr>
              <xdr:cNvSpPr/>
            </xdr:nvSpPr>
            <xdr:spPr>
              <a:xfrm>
                <a:off x="521350" y="36287356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467" name="Group 466">
              <a:extLst>
                <a:ext uri="{FF2B5EF4-FFF2-40B4-BE49-F238E27FC236}">
                  <a16:creationId xmlns:a16="http://schemas.microsoft.com/office/drawing/2014/main" id="{00000000-0008-0000-0300-0000D3010000}"/>
                </a:ext>
              </a:extLst>
            </xdr:cNvPr>
            <xdr:cNvGrpSpPr/>
          </xdr:nvGrpSpPr>
          <xdr:grpSpPr>
            <a:xfrm>
              <a:off x="732233" y="32599313"/>
              <a:ext cx="642939" cy="168555"/>
              <a:chOff x="3305175" y="4676775"/>
              <a:chExt cx="1457325" cy="504825"/>
            </a:xfrm>
          </xdr:grpSpPr>
          <xdr:sp macro="" textlink="">
            <xdr:nvSpPr>
              <xdr:cNvPr id="468" name="Arc 467">
                <a:extLst>
                  <a:ext uri="{FF2B5EF4-FFF2-40B4-BE49-F238E27FC236}">
                    <a16:creationId xmlns:a16="http://schemas.microsoft.com/office/drawing/2014/main" id="{00000000-0008-0000-0300-0000D4010000}"/>
                  </a:ext>
                </a:extLst>
              </xdr:cNvPr>
              <xdr:cNvSpPr/>
            </xdr:nvSpPr>
            <xdr:spPr>
              <a:xfrm rot="10800000">
                <a:off x="3619500" y="46767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69" name="Arc 468">
                <a:extLst>
                  <a:ext uri="{FF2B5EF4-FFF2-40B4-BE49-F238E27FC236}">
                    <a16:creationId xmlns:a16="http://schemas.microsoft.com/office/drawing/2014/main" id="{00000000-0008-0000-0300-0000D5010000}"/>
                  </a:ext>
                </a:extLst>
              </xdr:cNvPr>
              <xdr:cNvSpPr/>
            </xdr:nvSpPr>
            <xdr:spPr>
              <a:xfrm rot="10800000">
                <a:off x="3543300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0" name="Arc 469">
                <a:extLst>
                  <a:ext uri="{FF2B5EF4-FFF2-40B4-BE49-F238E27FC236}">
                    <a16:creationId xmlns:a16="http://schemas.microsoft.com/office/drawing/2014/main" id="{00000000-0008-0000-0300-0000D6010000}"/>
                  </a:ext>
                </a:extLst>
              </xdr:cNvPr>
              <xdr:cNvSpPr/>
            </xdr:nvSpPr>
            <xdr:spPr>
              <a:xfrm rot="10800000">
                <a:off x="3562350" y="49625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1" name="Arc 470">
                <a:extLst>
                  <a:ext uri="{FF2B5EF4-FFF2-40B4-BE49-F238E27FC236}">
                    <a16:creationId xmlns:a16="http://schemas.microsoft.com/office/drawing/2014/main" id="{00000000-0008-0000-0300-0000D7010000}"/>
                  </a:ext>
                </a:extLst>
              </xdr:cNvPr>
              <xdr:cNvSpPr/>
            </xdr:nvSpPr>
            <xdr:spPr>
              <a:xfrm rot="10800000">
                <a:off x="3305175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2" name="Arc 471">
                <a:extLst>
                  <a:ext uri="{FF2B5EF4-FFF2-40B4-BE49-F238E27FC236}">
                    <a16:creationId xmlns:a16="http://schemas.microsoft.com/office/drawing/2014/main" id="{00000000-0008-0000-0300-0000D8010000}"/>
                  </a:ext>
                </a:extLst>
              </xdr:cNvPr>
              <xdr:cNvSpPr/>
            </xdr:nvSpPr>
            <xdr:spPr>
              <a:xfrm rot="9829482">
                <a:off x="4095749" y="4857751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3" name="Arc 472">
                <a:extLst>
                  <a:ext uri="{FF2B5EF4-FFF2-40B4-BE49-F238E27FC236}">
                    <a16:creationId xmlns:a16="http://schemas.microsoft.com/office/drawing/2014/main" id="{00000000-0008-0000-0300-0000D9010000}"/>
                  </a:ext>
                </a:extLst>
              </xdr:cNvPr>
              <xdr:cNvSpPr/>
            </xdr:nvSpPr>
            <xdr:spPr>
              <a:xfrm rot="9861198">
                <a:off x="3867150" y="49244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4" name="Arc 473">
                <a:extLst>
                  <a:ext uri="{FF2B5EF4-FFF2-40B4-BE49-F238E27FC236}">
                    <a16:creationId xmlns:a16="http://schemas.microsoft.com/office/drawing/2014/main" id="{00000000-0008-0000-0300-0000DA010000}"/>
                  </a:ext>
                </a:extLst>
              </xdr:cNvPr>
              <xdr:cNvSpPr/>
            </xdr:nvSpPr>
            <xdr:spPr>
              <a:xfrm rot="10800000" flipH="1">
                <a:off x="3609975" y="47339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5" name="Arc 474">
                <a:extLst>
                  <a:ext uri="{FF2B5EF4-FFF2-40B4-BE49-F238E27FC236}">
                    <a16:creationId xmlns:a16="http://schemas.microsoft.com/office/drawing/2014/main" id="{00000000-0008-0000-0300-0000DB010000}"/>
                  </a:ext>
                </a:extLst>
              </xdr:cNvPr>
              <xdr:cNvSpPr/>
            </xdr:nvSpPr>
            <xdr:spPr>
              <a:xfrm rot="10800000" flipH="1">
                <a:off x="3876675" y="47625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6" name="Arc 475">
                <a:extLst>
                  <a:ext uri="{FF2B5EF4-FFF2-40B4-BE49-F238E27FC236}">
                    <a16:creationId xmlns:a16="http://schemas.microsoft.com/office/drawing/2014/main" id="{00000000-0008-0000-0300-0000DC010000}"/>
                  </a:ext>
                </a:extLst>
              </xdr:cNvPr>
              <xdr:cNvSpPr/>
            </xdr:nvSpPr>
            <xdr:spPr>
              <a:xfrm rot="10800000" flipH="1">
                <a:off x="4114800" y="48387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477" name="Arc 476">
                <a:extLst>
                  <a:ext uri="{FF2B5EF4-FFF2-40B4-BE49-F238E27FC236}">
                    <a16:creationId xmlns:a16="http://schemas.microsoft.com/office/drawing/2014/main" id="{00000000-0008-0000-0300-0000DD010000}"/>
                  </a:ext>
                </a:extLst>
              </xdr:cNvPr>
              <xdr:cNvSpPr/>
            </xdr:nvSpPr>
            <xdr:spPr>
              <a:xfrm rot="10800000" flipH="1">
                <a:off x="4191000" y="470535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</xdr:grpSp>
      </xdr:grpSp>
    </xdr:grpSp>
    <xdr:clientData/>
  </xdr:twoCellAnchor>
  <xdr:twoCellAnchor>
    <xdr:from>
      <xdr:col>11</xdr:col>
      <xdr:colOff>200122</xdr:colOff>
      <xdr:row>163</xdr:row>
      <xdr:rowOff>73592</xdr:rowOff>
    </xdr:from>
    <xdr:to>
      <xdr:col>17</xdr:col>
      <xdr:colOff>41614</xdr:colOff>
      <xdr:row>171</xdr:row>
      <xdr:rowOff>5569</xdr:rowOff>
    </xdr:to>
    <xdr:grpSp>
      <xdr:nvGrpSpPr>
        <xdr:cNvPr id="493" name="Cooling tower wet natural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GrpSpPr/>
      </xdr:nvGrpSpPr>
      <xdr:grpSpPr>
        <a:xfrm>
          <a:off x="4267297" y="26962667"/>
          <a:ext cx="1213092" cy="1227377"/>
          <a:chOff x="6701118" y="5524500"/>
          <a:chExt cx="1180936" cy="1268400"/>
        </a:xfrm>
      </xdr:grpSpPr>
      <xdr:grpSp>
        <xdr:nvGrpSpPr>
          <xdr:cNvPr id="494" name="Group 493">
            <a:extLst>
              <a:ext uri="{FF2B5EF4-FFF2-40B4-BE49-F238E27FC236}">
                <a16:creationId xmlns:a16="http://schemas.microsoft.com/office/drawing/2014/main" id="{00000000-0008-0000-0300-0000EE010000}"/>
              </a:ext>
            </a:extLst>
          </xdr:cNvPr>
          <xdr:cNvGrpSpPr/>
        </xdr:nvGrpSpPr>
        <xdr:grpSpPr>
          <a:xfrm rot="10800000">
            <a:off x="6977991" y="5524500"/>
            <a:ext cx="904063" cy="257176"/>
            <a:chOff x="3305175" y="4676775"/>
            <a:chExt cx="1457325" cy="504825"/>
          </a:xfrm>
        </xdr:grpSpPr>
        <xdr:sp macro="" textlink="">
          <xdr:nvSpPr>
            <xdr:cNvPr id="522" name="Arc 521">
              <a:extLst>
                <a:ext uri="{FF2B5EF4-FFF2-40B4-BE49-F238E27FC236}">
                  <a16:creationId xmlns:a16="http://schemas.microsoft.com/office/drawing/2014/main" id="{00000000-0008-0000-0300-00000A020000}"/>
                </a:ext>
              </a:extLst>
            </xdr:cNvPr>
            <xdr:cNvSpPr/>
          </xdr:nvSpPr>
          <xdr:spPr>
            <a:xfrm rot="10800000">
              <a:off x="3619500" y="46767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3" name="Arc 522">
              <a:extLst>
                <a:ext uri="{FF2B5EF4-FFF2-40B4-BE49-F238E27FC236}">
                  <a16:creationId xmlns:a16="http://schemas.microsoft.com/office/drawing/2014/main" id="{00000000-0008-0000-0300-00000B020000}"/>
                </a:ext>
              </a:extLst>
            </xdr:cNvPr>
            <xdr:cNvSpPr/>
          </xdr:nvSpPr>
          <xdr:spPr>
            <a:xfrm rot="10800000">
              <a:off x="3543300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4" name="Arc 523">
              <a:extLst>
                <a:ext uri="{FF2B5EF4-FFF2-40B4-BE49-F238E27FC236}">
                  <a16:creationId xmlns:a16="http://schemas.microsoft.com/office/drawing/2014/main" id="{00000000-0008-0000-0300-00000C020000}"/>
                </a:ext>
              </a:extLst>
            </xdr:cNvPr>
            <xdr:cNvSpPr/>
          </xdr:nvSpPr>
          <xdr:spPr>
            <a:xfrm rot="10800000">
              <a:off x="3562350" y="49625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5" name="Arc 524">
              <a:extLst>
                <a:ext uri="{FF2B5EF4-FFF2-40B4-BE49-F238E27FC236}">
                  <a16:creationId xmlns:a16="http://schemas.microsoft.com/office/drawing/2014/main" id="{00000000-0008-0000-0300-00000D020000}"/>
                </a:ext>
              </a:extLst>
            </xdr:cNvPr>
            <xdr:cNvSpPr/>
          </xdr:nvSpPr>
          <xdr:spPr>
            <a:xfrm rot="10800000">
              <a:off x="3305175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6" name="Arc 525">
              <a:extLst>
                <a:ext uri="{FF2B5EF4-FFF2-40B4-BE49-F238E27FC236}">
                  <a16:creationId xmlns:a16="http://schemas.microsoft.com/office/drawing/2014/main" id="{00000000-0008-0000-0300-00000E020000}"/>
                </a:ext>
              </a:extLst>
            </xdr:cNvPr>
            <xdr:cNvSpPr/>
          </xdr:nvSpPr>
          <xdr:spPr>
            <a:xfrm rot="9829482">
              <a:off x="4095749" y="4857751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7" name="Arc 526">
              <a:extLst>
                <a:ext uri="{FF2B5EF4-FFF2-40B4-BE49-F238E27FC236}">
                  <a16:creationId xmlns:a16="http://schemas.microsoft.com/office/drawing/2014/main" id="{00000000-0008-0000-0300-00000F020000}"/>
                </a:ext>
              </a:extLst>
            </xdr:cNvPr>
            <xdr:cNvSpPr/>
          </xdr:nvSpPr>
          <xdr:spPr>
            <a:xfrm rot="9861198">
              <a:off x="3867150" y="49244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8" name="Arc 527">
              <a:extLst>
                <a:ext uri="{FF2B5EF4-FFF2-40B4-BE49-F238E27FC236}">
                  <a16:creationId xmlns:a16="http://schemas.microsoft.com/office/drawing/2014/main" id="{00000000-0008-0000-0300-000010020000}"/>
                </a:ext>
              </a:extLst>
            </xdr:cNvPr>
            <xdr:cNvSpPr/>
          </xdr:nvSpPr>
          <xdr:spPr>
            <a:xfrm rot="10800000" flipH="1">
              <a:off x="3609975" y="47339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29" name="Arc 528">
              <a:extLst>
                <a:ext uri="{FF2B5EF4-FFF2-40B4-BE49-F238E27FC236}">
                  <a16:creationId xmlns:a16="http://schemas.microsoft.com/office/drawing/2014/main" id="{00000000-0008-0000-0300-000011020000}"/>
                </a:ext>
              </a:extLst>
            </xdr:cNvPr>
            <xdr:cNvSpPr/>
          </xdr:nvSpPr>
          <xdr:spPr>
            <a:xfrm rot="10800000" flipH="1">
              <a:off x="3876675" y="47625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30" name="Arc 529">
              <a:extLst>
                <a:ext uri="{FF2B5EF4-FFF2-40B4-BE49-F238E27FC236}">
                  <a16:creationId xmlns:a16="http://schemas.microsoft.com/office/drawing/2014/main" id="{00000000-0008-0000-0300-000012020000}"/>
                </a:ext>
              </a:extLst>
            </xdr:cNvPr>
            <xdr:cNvSpPr/>
          </xdr:nvSpPr>
          <xdr:spPr>
            <a:xfrm rot="10800000" flipH="1">
              <a:off x="4114800" y="48387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31" name="Arc 530">
              <a:extLst>
                <a:ext uri="{FF2B5EF4-FFF2-40B4-BE49-F238E27FC236}">
                  <a16:creationId xmlns:a16="http://schemas.microsoft.com/office/drawing/2014/main" id="{00000000-0008-0000-0300-000013020000}"/>
                </a:ext>
              </a:extLst>
            </xdr:cNvPr>
            <xdr:cNvSpPr/>
          </xdr:nvSpPr>
          <xdr:spPr>
            <a:xfrm rot="10800000" flipH="1">
              <a:off x="4191000" y="470535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495" name="Group 494">
            <a:extLst>
              <a:ext uri="{FF2B5EF4-FFF2-40B4-BE49-F238E27FC236}">
                <a16:creationId xmlns:a16="http://schemas.microsoft.com/office/drawing/2014/main" id="{00000000-0008-0000-0300-0000EF010000}"/>
              </a:ext>
            </a:extLst>
          </xdr:cNvPr>
          <xdr:cNvGrpSpPr/>
        </xdr:nvGrpSpPr>
        <xdr:grpSpPr>
          <a:xfrm>
            <a:off x="6701118" y="5676900"/>
            <a:ext cx="936731" cy="1116000"/>
            <a:chOff x="3152775" y="7962899"/>
            <a:chExt cx="936000" cy="1116000"/>
          </a:xfrm>
        </xdr:grpSpPr>
        <xdr:grpSp>
          <xdr:nvGrpSpPr>
            <xdr:cNvPr id="496" name="Group 495">
              <a:extLst>
                <a:ext uri="{FF2B5EF4-FFF2-40B4-BE49-F238E27FC236}">
                  <a16:creationId xmlns:a16="http://schemas.microsoft.com/office/drawing/2014/main" id="{00000000-0008-0000-0300-0000F0010000}"/>
                </a:ext>
              </a:extLst>
            </xdr:cNvPr>
            <xdr:cNvGrpSpPr/>
          </xdr:nvGrpSpPr>
          <xdr:grpSpPr>
            <a:xfrm>
              <a:off x="3152775" y="7962899"/>
              <a:ext cx="936000" cy="1116000"/>
              <a:chOff x="2507454" y="5393121"/>
              <a:chExt cx="1460960" cy="1645353"/>
            </a:xfrm>
          </xdr:grpSpPr>
          <xdr:sp macro="" textlink="">
            <xdr:nvSpPr>
              <xdr:cNvPr id="519" name="Freeform 518">
                <a:extLst>
                  <a:ext uri="{FF2B5EF4-FFF2-40B4-BE49-F238E27FC236}">
                    <a16:creationId xmlns:a16="http://schemas.microsoft.com/office/drawing/2014/main" id="{00000000-0008-0000-0300-000007020000}"/>
                  </a:ext>
                </a:extLst>
              </xdr:cNvPr>
              <xdr:cNvSpPr/>
            </xdr:nvSpPr>
            <xdr:spPr>
              <a:xfrm>
                <a:off x="2508509" y="5393121"/>
                <a:ext cx="1459905" cy="1645352"/>
              </a:xfrm>
              <a:custGeom>
                <a:avLst/>
                <a:gdLst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69328 w 1898128"/>
                  <a:gd name="connsiteY0" fmla="*/ 2095500 h 2095500"/>
                  <a:gd name="connsiteX1" fmla="*/ 69328 w 1898128"/>
                  <a:gd name="connsiteY1" fmla="*/ 1724025 h 2095500"/>
                  <a:gd name="connsiteX2" fmla="*/ 31228 w 1898128"/>
                  <a:gd name="connsiteY2" fmla="*/ 714375 h 2095500"/>
                  <a:gd name="connsiteX3" fmla="*/ 678928 w 1898128"/>
                  <a:gd name="connsiteY3" fmla="*/ 0 h 2095500"/>
                  <a:gd name="connsiteX4" fmla="*/ 1298053 w 1898128"/>
                  <a:gd name="connsiteY4" fmla="*/ 0 h 2095500"/>
                  <a:gd name="connsiteX5" fmla="*/ 1898128 w 1898128"/>
                  <a:gd name="connsiteY5" fmla="*/ 1724025 h 2095500"/>
                  <a:gd name="connsiteX6" fmla="*/ 1898128 w 1898128"/>
                  <a:gd name="connsiteY6" fmla="*/ 2095500 h 2095500"/>
                  <a:gd name="connsiteX7" fmla="*/ 69328 w 1898128"/>
                  <a:gd name="connsiteY7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0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0 w 1828800"/>
                  <a:gd name="connsiteY6" fmla="*/ 2095500 h 2095500"/>
                  <a:gd name="connsiteX0" fmla="*/ 93999 w 1828800"/>
                  <a:gd name="connsiteY0" fmla="*/ 2095500 h 2095500"/>
                  <a:gd name="connsiteX1" fmla="*/ 0 w 1828800"/>
                  <a:gd name="connsiteY1" fmla="*/ 1724025 h 2095500"/>
                  <a:gd name="connsiteX2" fmla="*/ 609600 w 1828800"/>
                  <a:gd name="connsiteY2" fmla="*/ 0 h 2095500"/>
                  <a:gd name="connsiteX3" fmla="*/ 1228725 w 1828800"/>
                  <a:gd name="connsiteY3" fmla="*/ 0 h 2095500"/>
                  <a:gd name="connsiteX4" fmla="*/ 1828800 w 1828800"/>
                  <a:gd name="connsiteY4" fmla="*/ 1724025 h 2095500"/>
                  <a:gd name="connsiteX5" fmla="*/ 1828800 w 1828800"/>
                  <a:gd name="connsiteY5" fmla="*/ 2095500 h 2095500"/>
                  <a:gd name="connsiteX6" fmla="*/ 93999 w 1828800"/>
                  <a:gd name="connsiteY6" fmla="*/ 2095500 h 2095500"/>
                  <a:gd name="connsiteX0" fmla="*/ 0 w 1734801"/>
                  <a:gd name="connsiteY0" fmla="*/ 2095500 h 2095500"/>
                  <a:gd name="connsiteX1" fmla="*/ 10445 w 1734801"/>
                  <a:gd name="connsiteY1" fmla="*/ 1713224 h 2095500"/>
                  <a:gd name="connsiteX2" fmla="*/ 515601 w 1734801"/>
                  <a:gd name="connsiteY2" fmla="*/ 0 h 2095500"/>
                  <a:gd name="connsiteX3" fmla="*/ 1134726 w 1734801"/>
                  <a:gd name="connsiteY3" fmla="*/ 0 h 2095500"/>
                  <a:gd name="connsiteX4" fmla="*/ 1734801 w 1734801"/>
                  <a:gd name="connsiteY4" fmla="*/ 1724025 h 2095500"/>
                  <a:gd name="connsiteX5" fmla="*/ 1734801 w 1734801"/>
                  <a:gd name="connsiteY5" fmla="*/ 2095500 h 2095500"/>
                  <a:gd name="connsiteX6" fmla="*/ 0 w 1734801"/>
                  <a:gd name="connsiteY6" fmla="*/ 2095500 h 2095500"/>
                  <a:gd name="connsiteX0" fmla="*/ 0 w 1734801"/>
                  <a:gd name="connsiteY0" fmla="*/ 2095500 h 2095500"/>
                  <a:gd name="connsiteX1" fmla="*/ 3025 w 1734801"/>
                  <a:gd name="connsiteY1" fmla="*/ 1713224 h 2095500"/>
                  <a:gd name="connsiteX2" fmla="*/ 515601 w 1734801"/>
                  <a:gd name="connsiteY2" fmla="*/ 0 h 2095500"/>
                  <a:gd name="connsiteX3" fmla="*/ 1134726 w 1734801"/>
                  <a:gd name="connsiteY3" fmla="*/ 0 h 2095500"/>
                  <a:gd name="connsiteX4" fmla="*/ 1734801 w 1734801"/>
                  <a:gd name="connsiteY4" fmla="*/ 1724025 h 2095500"/>
                  <a:gd name="connsiteX5" fmla="*/ 1734801 w 1734801"/>
                  <a:gd name="connsiteY5" fmla="*/ 2095500 h 2095500"/>
                  <a:gd name="connsiteX6" fmla="*/ 0 w 1734801"/>
                  <a:gd name="connsiteY6" fmla="*/ 2095500 h 20955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734801" h="2095500">
                    <a:moveTo>
                      <a:pt x="0" y="2095500"/>
                    </a:moveTo>
                    <a:cubicBezTo>
                      <a:pt x="1008" y="1968075"/>
                      <a:pt x="2017" y="1840649"/>
                      <a:pt x="3025" y="1713224"/>
                    </a:cubicBezTo>
                    <a:cubicBezTo>
                      <a:pt x="495150" y="716274"/>
                      <a:pt x="604528" y="575059"/>
                      <a:pt x="515601" y="0"/>
                    </a:cubicBezTo>
                    <a:lnTo>
                      <a:pt x="1134726" y="0"/>
                    </a:lnTo>
                    <a:cubicBezTo>
                      <a:pt x="1023936" y="644306"/>
                      <a:pt x="1430001" y="1168400"/>
                      <a:pt x="1734801" y="1724025"/>
                    </a:cubicBezTo>
                    <a:lnTo>
                      <a:pt x="1734801" y="2095500"/>
                    </a:lnTo>
                    <a:lnTo>
                      <a:pt x="0" y="2095500"/>
                    </a:lnTo>
                    <a:close/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520" name="Rectangle 519">
                <a:extLst>
                  <a:ext uri="{FF2B5EF4-FFF2-40B4-BE49-F238E27FC236}">
                    <a16:creationId xmlns:a16="http://schemas.microsoft.com/office/drawing/2014/main" id="{00000000-0008-0000-0300-000008020000}"/>
                  </a:ext>
                </a:extLst>
              </xdr:cNvPr>
              <xdr:cNvSpPr/>
            </xdr:nvSpPr>
            <xdr:spPr>
              <a:xfrm>
                <a:off x="2507454" y="6743328"/>
                <a:ext cx="1459146" cy="295146"/>
              </a:xfrm>
              <a:prstGeom prst="rect">
                <a:avLst/>
              </a:prstGeom>
              <a:solidFill>
                <a:schemeClr val="bg1">
                  <a:lumMod val="8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521" name="Freeform 520">
                <a:extLst>
                  <a:ext uri="{FF2B5EF4-FFF2-40B4-BE49-F238E27FC236}">
                    <a16:creationId xmlns:a16="http://schemas.microsoft.com/office/drawing/2014/main" id="{00000000-0008-0000-0300-000009020000}"/>
                  </a:ext>
                </a:extLst>
              </xdr:cNvPr>
              <xdr:cNvSpPr/>
            </xdr:nvSpPr>
            <xdr:spPr>
              <a:xfrm>
                <a:off x="2515684" y="6740739"/>
                <a:ext cx="1450915" cy="297735"/>
              </a:xfrm>
              <a:custGeom>
                <a:avLst/>
                <a:gdLst>
                  <a:gd name="connsiteX0" fmla="*/ 0 w 2225843"/>
                  <a:gd name="connsiteY0" fmla="*/ 225592 h 230605"/>
                  <a:gd name="connsiteX1" fmla="*/ 220579 w 2225843"/>
                  <a:gd name="connsiteY1" fmla="*/ 5013 h 230605"/>
                  <a:gd name="connsiteX2" fmla="*/ 441158 w 2225843"/>
                  <a:gd name="connsiteY2" fmla="*/ 225592 h 230605"/>
                  <a:gd name="connsiteX3" fmla="*/ 661737 w 2225843"/>
                  <a:gd name="connsiteY3" fmla="*/ 5013 h 230605"/>
                  <a:gd name="connsiteX4" fmla="*/ 882316 w 2225843"/>
                  <a:gd name="connsiteY4" fmla="*/ 225592 h 230605"/>
                  <a:gd name="connsiteX5" fmla="*/ 1102895 w 2225843"/>
                  <a:gd name="connsiteY5" fmla="*/ 5013 h 230605"/>
                  <a:gd name="connsiteX6" fmla="*/ 1323474 w 2225843"/>
                  <a:gd name="connsiteY6" fmla="*/ 225592 h 230605"/>
                  <a:gd name="connsiteX7" fmla="*/ 1544053 w 2225843"/>
                  <a:gd name="connsiteY7" fmla="*/ 5013 h 230605"/>
                  <a:gd name="connsiteX8" fmla="*/ 1764632 w 2225843"/>
                  <a:gd name="connsiteY8" fmla="*/ 225592 h 230605"/>
                  <a:gd name="connsiteX9" fmla="*/ 1990224 w 2225843"/>
                  <a:gd name="connsiteY9" fmla="*/ 0 h 230605"/>
                  <a:gd name="connsiteX10" fmla="*/ 2220829 w 2225843"/>
                  <a:gd name="connsiteY10" fmla="*/ 230605 h 230605"/>
                  <a:gd name="connsiteX11" fmla="*/ 2225843 w 2225843"/>
                  <a:gd name="connsiteY11" fmla="*/ 230605 h 2306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</a:cxnLst>
                <a:rect l="l" t="t" r="r" b="b"/>
                <a:pathLst>
                  <a:path w="2225843" h="230605">
                    <a:moveTo>
                      <a:pt x="0" y="225592"/>
                    </a:moveTo>
                    <a:lnTo>
                      <a:pt x="220579" y="5013"/>
                    </a:lnTo>
                    <a:lnTo>
                      <a:pt x="441158" y="225592"/>
                    </a:lnTo>
                    <a:lnTo>
                      <a:pt x="661737" y="5013"/>
                    </a:lnTo>
                    <a:lnTo>
                      <a:pt x="882316" y="225592"/>
                    </a:lnTo>
                    <a:lnTo>
                      <a:pt x="1102895" y="5013"/>
                    </a:lnTo>
                    <a:lnTo>
                      <a:pt x="1323474" y="225592"/>
                    </a:lnTo>
                    <a:lnTo>
                      <a:pt x="1544053" y="5013"/>
                    </a:lnTo>
                    <a:lnTo>
                      <a:pt x="1764632" y="225592"/>
                    </a:lnTo>
                    <a:lnTo>
                      <a:pt x="1990224" y="0"/>
                    </a:lnTo>
                    <a:lnTo>
                      <a:pt x="2220829" y="230605"/>
                    </a:lnTo>
                    <a:lnTo>
                      <a:pt x="2225843" y="230605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497" name="Group 496">
              <a:extLst>
                <a:ext uri="{FF2B5EF4-FFF2-40B4-BE49-F238E27FC236}">
                  <a16:creationId xmlns:a16="http://schemas.microsoft.com/office/drawing/2014/main" id="{00000000-0008-0000-0300-0000F1010000}"/>
                </a:ext>
              </a:extLst>
            </xdr:cNvPr>
            <xdr:cNvGrpSpPr/>
          </xdr:nvGrpSpPr>
          <xdr:grpSpPr>
            <a:xfrm>
              <a:off x="3224525" y="8583067"/>
              <a:ext cx="652987" cy="31010"/>
              <a:chOff x="2344966" y="7534275"/>
              <a:chExt cx="1488596" cy="66674"/>
            </a:xfrm>
          </xdr:grpSpPr>
          <xdr:cxnSp macro="">
            <xdr:nvCxnSpPr>
              <xdr:cNvPr id="498" name="Straight Connector 497">
                <a:extLst>
                  <a:ext uri="{FF2B5EF4-FFF2-40B4-BE49-F238E27FC236}">
                    <a16:creationId xmlns:a16="http://schemas.microsoft.com/office/drawing/2014/main" id="{00000000-0008-0000-0300-0000F2010000}"/>
                  </a:ext>
                </a:extLst>
              </xdr:cNvPr>
              <xdr:cNvCxnSpPr/>
            </xdr:nvCxnSpPr>
            <xdr:spPr>
              <a:xfrm>
                <a:off x="2344966" y="7534275"/>
                <a:ext cx="1411369" cy="0"/>
              </a:xfrm>
              <a:prstGeom prst="line">
                <a:avLst/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grpSp>
            <xdr:nvGrpSpPr>
              <xdr:cNvPr id="499" name="Group 498">
                <a:extLst>
                  <a:ext uri="{FF2B5EF4-FFF2-40B4-BE49-F238E27FC236}">
                    <a16:creationId xmlns:a16="http://schemas.microsoft.com/office/drawing/2014/main" id="{00000000-0008-0000-0300-0000F3010000}"/>
                  </a:ext>
                </a:extLst>
              </xdr:cNvPr>
              <xdr:cNvGrpSpPr/>
            </xdr:nvGrpSpPr>
            <xdr:grpSpPr>
              <a:xfrm>
                <a:off x="2664921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515" name="Straight Connector 514">
                  <a:extLst>
                    <a:ext uri="{FF2B5EF4-FFF2-40B4-BE49-F238E27FC236}">
                      <a16:creationId xmlns:a16="http://schemas.microsoft.com/office/drawing/2014/main" id="{00000000-0008-0000-0300-00000302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6" name="Straight Connector 515">
                  <a:extLst>
                    <a:ext uri="{FF2B5EF4-FFF2-40B4-BE49-F238E27FC236}">
                      <a16:creationId xmlns:a16="http://schemas.microsoft.com/office/drawing/2014/main" id="{00000000-0008-0000-0300-00000402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7" name="Straight Connector 516">
                  <a:extLst>
                    <a:ext uri="{FF2B5EF4-FFF2-40B4-BE49-F238E27FC236}">
                      <a16:creationId xmlns:a16="http://schemas.microsoft.com/office/drawing/2014/main" id="{00000000-0008-0000-0300-00000502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8" name="Straight Connector 517">
                  <a:extLst>
                    <a:ext uri="{FF2B5EF4-FFF2-40B4-BE49-F238E27FC236}">
                      <a16:creationId xmlns:a16="http://schemas.microsoft.com/office/drawing/2014/main" id="{00000000-0008-0000-0300-00000602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500" name="Group 499">
                <a:extLst>
                  <a:ext uri="{FF2B5EF4-FFF2-40B4-BE49-F238E27FC236}">
                    <a16:creationId xmlns:a16="http://schemas.microsoft.com/office/drawing/2014/main" id="{00000000-0008-0000-0300-0000F4010000}"/>
                  </a:ext>
                </a:extLst>
              </xdr:cNvPr>
              <xdr:cNvGrpSpPr/>
            </xdr:nvGrpSpPr>
            <xdr:grpSpPr>
              <a:xfrm>
                <a:off x="3660298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511" name="Straight Connector 510">
                  <a:extLst>
                    <a:ext uri="{FF2B5EF4-FFF2-40B4-BE49-F238E27FC236}">
                      <a16:creationId xmlns:a16="http://schemas.microsoft.com/office/drawing/2014/main" id="{00000000-0008-0000-0300-0000FF01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2" name="Straight Connector 511">
                  <a:extLst>
                    <a:ext uri="{FF2B5EF4-FFF2-40B4-BE49-F238E27FC236}">
                      <a16:creationId xmlns:a16="http://schemas.microsoft.com/office/drawing/2014/main" id="{00000000-0008-0000-0300-00000002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3" name="Straight Connector 512">
                  <a:extLst>
                    <a:ext uri="{FF2B5EF4-FFF2-40B4-BE49-F238E27FC236}">
                      <a16:creationId xmlns:a16="http://schemas.microsoft.com/office/drawing/2014/main" id="{00000000-0008-0000-0300-00000102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4" name="Straight Connector 513">
                  <a:extLst>
                    <a:ext uri="{FF2B5EF4-FFF2-40B4-BE49-F238E27FC236}">
                      <a16:creationId xmlns:a16="http://schemas.microsoft.com/office/drawing/2014/main" id="{00000000-0008-0000-0300-00000202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501" name="Group 500">
                <a:extLst>
                  <a:ext uri="{FF2B5EF4-FFF2-40B4-BE49-F238E27FC236}">
                    <a16:creationId xmlns:a16="http://schemas.microsoft.com/office/drawing/2014/main" id="{00000000-0008-0000-0300-0000F5010000}"/>
                  </a:ext>
                </a:extLst>
              </xdr:cNvPr>
              <xdr:cNvGrpSpPr/>
            </xdr:nvGrpSpPr>
            <xdr:grpSpPr>
              <a:xfrm>
                <a:off x="3328506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507" name="Straight Connector 506">
                  <a:extLst>
                    <a:ext uri="{FF2B5EF4-FFF2-40B4-BE49-F238E27FC236}">
                      <a16:creationId xmlns:a16="http://schemas.microsoft.com/office/drawing/2014/main" id="{00000000-0008-0000-0300-0000FB01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Straight Connector 507">
                  <a:extLst>
                    <a:ext uri="{FF2B5EF4-FFF2-40B4-BE49-F238E27FC236}">
                      <a16:creationId xmlns:a16="http://schemas.microsoft.com/office/drawing/2014/main" id="{00000000-0008-0000-0300-0000FC01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Straight Connector 508">
                  <a:extLst>
                    <a:ext uri="{FF2B5EF4-FFF2-40B4-BE49-F238E27FC236}">
                      <a16:creationId xmlns:a16="http://schemas.microsoft.com/office/drawing/2014/main" id="{00000000-0008-0000-0300-0000FD01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10" name="Straight Connector 509">
                  <a:extLst>
                    <a:ext uri="{FF2B5EF4-FFF2-40B4-BE49-F238E27FC236}">
                      <a16:creationId xmlns:a16="http://schemas.microsoft.com/office/drawing/2014/main" id="{00000000-0008-0000-0300-0000FE01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502" name="Group 501">
                <a:extLst>
                  <a:ext uri="{FF2B5EF4-FFF2-40B4-BE49-F238E27FC236}">
                    <a16:creationId xmlns:a16="http://schemas.microsoft.com/office/drawing/2014/main" id="{00000000-0008-0000-0300-0000F6010000}"/>
                  </a:ext>
                </a:extLst>
              </xdr:cNvPr>
              <xdr:cNvGrpSpPr/>
            </xdr:nvGrpSpPr>
            <xdr:grpSpPr>
              <a:xfrm>
                <a:off x="2996714" y="7537847"/>
                <a:ext cx="173264" cy="63102"/>
                <a:chOff x="7119938" y="11439524"/>
                <a:chExt cx="333371" cy="208359"/>
              </a:xfrm>
            </xdr:grpSpPr>
            <xdr:cxnSp macro="">
              <xdr:nvCxnSpPr>
                <xdr:cNvPr id="503" name="Straight Connector 502">
                  <a:extLst>
                    <a:ext uri="{FF2B5EF4-FFF2-40B4-BE49-F238E27FC236}">
                      <a16:creationId xmlns:a16="http://schemas.microsoft.com/office/drawing/2014/main" id="{00000000-0008-0000-0300-0000F7010000}"/>
                    </a:ext>
                  </a:extLst>
                </xdr:cNvPr>
                <xdr:cNvCxnSpPr/>
              </xdr:nvCxnSpPr>
              <xdr:spPr>
                <a:xfrm flipH="1">
                  <a:off x="7119938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4" name="Straight Connector 503">
                  <a:extLst>
                    <a:ext uri="{FF2B5EF4-FFF2-40B4-BE49-F238E27FC236}">
                      <a16:creationId xmlns:a16="http://schemas.microsoft.com/office/drawing/2014/main" id="{00000000-0008-0000-0300-0000F8010000}"/>
                    </a:ext>
                  </a:extLst>
                </xdr:cNvPr>
                <xdr:cNvCxnSpPr/>
              </xdr:nvCxnSpPr>
              <xdr:spPr>
                <a:xfrm rot="-3600000" flipH="1">
                  <a:off x="7239000" y="11469289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5" name="Straight Connector 504">
                  <a:extLst>
                    <a:ext uri="{FF2B5EF4-FFF2-40B4-BE49-F238E27FC236}">
                      <a16:creationId xmlns:a16="http://schemas.microsoft.com/office/drawing/2014/main" id="{00000000-0008-0000-0300-0000F9010000}"/>
                    </a:ext>
                  </a:extLst>
                </xdr:cNvPr>
                <xdr:cNvCxnSpPr/>
              </xdr:nvCxnSpPr>
              <xdr:spPr>
                <a:xfrm rot="-1800000" flipH="1">
                  <a:off x="7173516" y="11481196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6" name="Straight Connector 505">
                  <a:extLst>
                    <a:ext uri="{FF2B5EF4-FFF2-40B4-BE49-F238E27FC236}">
                      <a16:creationId xmlns:a16="http://schemas.microsoft.com/office/drawing/2014/main" id="{00000000-0008-0000-0300-0000FA010000}"/>
                    </a:ext>
                  </a:extLst>
                </xdr:cNvPr>
                <xdr:cNvCxnSpPr/>
              </xdr:nvCxnSpPr>
              <xdr:spPr>
                <a:xfrm rot="5400000" flipH="1">
                  <a:off x="7286622" y="11439524"/>
                  <a:ext cx="166687" cy="166687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</xdr:grpSp>
    </xdr:grpSp>
    <xdr:clientData/>
  </xdr:twoCellAnchor>
  <xdr:twoCellAnchor>
    <xdr:from>
      <xdr:col>5</xdr:col>
      <xdr:colOff>20780</xdr:colOff>
      <xdr:row>161</xdr:row>
      <xdr:rowOff>26139</xdr:rowOff>
    </xdr:from>
    <xdr:to>
      <xdr:col>10</xdr:col>
      <xdr:colOff>218216</xdr:colOff>
      <xdr:row>171</xdr:row>
      <xdr:rowOff>38233</xdr:rowOff>
    </xdr:to>
    <xdr:grpSp>
      <xdr:nvGrpSpPr>
        <xdr:cNvPr id="532" name="Condenser air direct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GrpSpPr/>
      </xdr:nvGrpSpPr>
      <xdr:grpSpPr>
        <a:xfrm>
          <a:off x="2173430" y="26591364"/>
          <a:ext cx="1883361" cy="1631344"/>
          <a:chOff x="5981701" y="17760655"/>
          <a:chExt cx="1825602" cy="1682063"/>
        </a:xfrm>
      </xdr:grpSpPr>
      <xdr:grpSp>
        <xdr:nvGrpSpPr>
          <xdr:cNvPr id="533" name="Group 532">
            <a:extLst>
              <a:ext uri="{FF2B5EF4-FFF2-40B4-BE49-F238E27FC236}">
                <a16:creationId xmlns:a16="http://schemas.microsoft.com/office/drawing/2014/main" id="{00000000-0008-0000-0300-000015020000}"/>
              </a:ext>
            </a:extLst>
          </xdr:cNvPr>
          <xdr:cNvGrpSpPr/>
        </xdr:nvGrpSpPr>
        <xdr:grpSpPr>
          <a:xfrm rot="19140000" flipH="1">
            <a:off x="6285133" y="18154864"/>
            <a:ext cx="555676" cy="122848"/>
            <a:chOff x="8016586" y="190500"/>
            <a:chExt cx="783768" cy="198118"/>
          </a:xfrm>
        </xdr:grpSpPr>
        <xdr:cxnSp macro="">
          <xdr:nvCxnSpPr>
            <xdr:cNvPr id="581" name="Straight Connector 580">
              <a:extLst>
                <a:ext uri="{FF2B5EF4-FFF2-40B4-BE49-F238E27FC236}">
                  <a16:creationId xmlns:a16="http://schemas.microsoft.com/office/drawing/2014/main" id="{00000000-0008-0000-0300-000045020000}"/>
                </a:ext>
              </a:extLst>
            </xdr:cNvPr>
            <xdr:cNvCxnSpPr/>
          </xdr:nvCxnSpPr>
          <xdr:spPr>
            <a:xfrm>
              <a:off x="8240518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2" name="Straight Connector 581">
              <a:extLst>
                <a:ext uri="{FF2B5EF4-FFF2-40B4-BE49-F238E27FC236}">
                  <a16:creationId xmlns:a16="http://schemas.microsoft.com/office/drawing/2014/main" id="{00000000-0008-0000-0300-000046020000}"/>
                </a:ext>
              </a:extLst>
            </xdr:cNvPr>
            <xdr:cNvCxnSpPr/>
          </xdr:nvCxnSpPr>
          <xdr:spPr>
            <a:xfrm>
              <a:off x="8352484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3" name="Straight Connector 582">
              <a:extLst>
                <a:ext uri="{FF2B5EF4-FFF2-40B4-BE49-F238E27FC236}">
                  <a16:creationId xmlns:a16="http://schemas.microsoft.com/office/drawing/2014/main" id="{00000000-0008-0000-0300-000047020000}"/>
                </a:ext>
              </a:extLst>
            </xdr:cNvPr>
            <xdr:cNvCxnSpPr/>
          </xdr:nvCxnSpPr>
          <xdr:spPr>
            <a:xfrm>
              <a:off x="8016586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4" name="Straight Connector 583">
              <a:extLst>
                <a:ext uri="{FF2B5EF4-FFF2-40B4-BE49-F238E27FC236}">
                  <a16:creationId xmlns:a16="http://schemas.microsoft.com/office/drawing/2014/main" id="{00000000-0008-0000-0300-000048020000}"/>
                </a:ext>
              </a:extLst>
            </xdr:cNvPr>
            <xdr:cNvCxnSpPr/>
          </xdr:nvCxnSpPr>
          <xdr:spPr>
            <a:xfrm>
              <a:off x="8128552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5" name="Straight Connector 584">
              <a:extLst>
                <a:ext uri="{FF2B5EF4-FFF2-40B4-BE49-F238E27FC236}">
                  <a16:creationId xmlns:a16="http://schemas.microsoft.com/office/drawing/2014/main" id="{00000000-0008-0000-0300-000049020000}"/>
                </a:ext>
              </a:extLst>
            </xdr:cNvPr>
            <xdr:cNvCxnSpPr/>
          </xdr:nvCxnSpPr>
          <xdr:spPr>
            <a:xfrm>
              <a:off x="8296501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6" name="Straight Connector 585">
              <a:extLst>
                <a:ext uri="{FF2B5EF4-FFF2-40B4-BE49-F238E27FC236}">
                  <a16:creationId xmlns:a16="http://schemas.microsoft.com/office/drawing/2014/main" id="{00000000-0008-0000-0300-00004A020000}"/>
                </a:ext>
              </a:extLst>
            </xdr:cNvPr>
            <xdr:cNvCxnSpPr/>
          </xdr:nvCxnSpPr>
          <xdr:spPr>
            <a:xfrm>
              <a:off x="8520433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7" name="Straight Connector 586">
              <a:extLst>
                <a:ext uri="{FF2B5EF4-FFF2-40B4-BE49-F238E27FC236}">
                  <a16:creationId xmlns:a16="http://schemas.microsoft.com/office/drawing/2014/main" id="{00000000-0008-0000-0300-00004B020000}"/>
                </a:ext>
              </a:extLst>
            </xdr:cNvPr>
            <xdr:cNvCxnSpPr/>
          </xdr:nvCxnSpPr>
          <xdr:spPr>
            <a:xfrm>
              <a:off x="8800354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8" name="Straight Connector 587">
              <a:extLst>
                <a:ext uri="{FF2B5EF4-FFF2-40B4-BE49-F238E27FC236}">
                  <a16:creationId xmlns:a16="http://schemas.microsoft.com/office/drawing/2014/main" id="{00000000-0008-0000-0300-00004C020000}"/>
                </a:ext>
              </a:extLst>
            </xdr:cNvPr>
            <xdr:cNvCxnSpPr/>
          </xdr:nvCxnSpPr>
          <xdr:spPr>
            <a:xfrm>
              <a:off x="8632399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9" name="Straight Connector 588">
              <a:extLst>
                <a:ext uri="{FF2B5EF4-FFF2-40B4-BE49-F238E27FC236}">
                  <a16:creationId xmlns:a16="http://schemas.microsoft.com/office/drawing/2014/main" id="{00000000-0008-0000-0300-00004D020000}"/>
                </a:ext>
              </a:extLst>
            </xdr:cNvPr>
            <xdr:cNvCxnSpPr/>
          </xdr:nvCxnSpPr>
          <xdr:spPr>
            <a:xfrm>
              <a:off x="8576416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0" name="Straight Connector 589">
              <a:extLst>
                <a:ext uri="{FF2B5EF4-FFF2-40B4-BE49-F238E27FC236}">
                  <a16:creationId xmlns:a16="http://schemas.microsoft.com/office/drawing/2014/main" id="{00000000-0008-0000-0300-00004E020000}"/>
                </a:ext>
              </a:extLst>
            </xdr:cNvPr>
            <xdr:cNvCxnSpPr/>
          </xdr:nvCxnSpPr>
          <xdr:spPr>
            <a:xfrm>
              <a:off x="8744365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1" name="Straight Connector 590">
              <a:extLst>
                <a:ext uri="{FF2B5EF4-FFF2-40B4-BE49-F238E27FC236}">
                  <a16:creationId xmlns:a16="http://schemas.microsoft.com/office/drawing/2014/main" id="{00000000-0008-0000-0300-00004F020000}"/>
                </a:ext>
              </a:extLst>
            </xdr:cNvPr>
            <xdr:cNvCxnSpPr/>
          </xdr:nvCxnSpPr>
          <xdr:spPr>
            <a:xfrm>
              <a:off x="8464450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2" name="Straight Connector 591">
              <a:extLst>
                <a:ext uri="{FF2B5EF4-FFF2-40B4-BE49-F238E27FC236}">
                  <a16:creationId xmlns:a16="http://schemas.microsoft.com/office/drawing/2014/main" id="{00000000-0008-0000-0300-000050020000}"/>
                </a:ext>
              </a:extLst>
            </xdr:cNvPr>
            <xdr:cNvCxnSpPr/>
          </xdr:nvCxnSpPr>
          <xdr:spPr>
            <a:xfrm>
              <a:off x="8072569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3" name="Straight Connector 592">
              <a:extLst>
                <a:ext uri="{FF2B5EF4-FFF2-40B4-BE49-F238E27FC236}">
                  <a16:creationId xmlns:a16="http://schemas.microsoft.com/office/drawing/2014/main" id="{00000000-0008-0000-0300-000051020000}"/>
                </a:ext>
              </a:extLst>
            </xdr:cNvPr>
            <xdr:cNvCxnSpPr/>
          </xdr:nvCxnSpPr>
          <xdr:spPr>
            <a:xfrm>
              <a:off x="8184535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4" name="Straight Connector 593">
              <a:extLst>
                <a:ext uri="{FF2B5EF4-FFF2-40B4-BE49-F238E27FC236}">
                  <a16:creationId xmlns:a16="http://schemas.microsoft.com/office/drawing/2014/main" id="{00000000-0008-0000-0300-000052020000}"/>
                </a:ext>
              </a:extLst>
            </xdr:cNvPr>
            <xdr:cNvCxnSpPr/>
          </xdr:nvCxnSpPr>
          <xdr:spPr>
            <a:xfrm>
              <a:off x="8408467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5" name="Straight Connector 594">
              <a:extLst>
                <a:ext uri="{FF2B5EF4-FFF2-40B4-BE49-F238E27FC236}">
                  <a16:creationId xmlns:a16="http://schemas.microsoft.com/office/drawing/2014/main" id="{00000000-0008-0000-0300-000053020000}"/>
                </a:ext>
              </a:extLst>
            </xdr:cNvPr>
            <xdr:cNvCxnSpPr/>
          </xdr:nvCxnSpPr>
          <xdr:spPr>
            <a:xfrm>
              <a:off x="8688382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534" name="Group 533">
            <a:extLst>
              <a:ext uri="{FF2B5EF4-FFF2-40B4-BE49-F238E27FC236}">
                <a16:creationId xmlns:a16="http://schemas.microsoft.com/office/drawing/2014/main" id="{00000000-0008-0000-0300-000016020000}"/>
              </a:ext>
            </a:extLst>
          </xdr:cNvPr>
          <xdr:cNvGrpSpPr/>
        </xdr:nvGrpSpPr>
        <xdr:grpSpPr>
          <a:xfrm rot="2460000" flipH="1">
            <a:off x="6966083" y="18154865"/>
            <a:ext cx="557301" cy="122848"/>
            <a:chOff x="8016586" y="190500"/>
            <a:chExt cx="783768" cy="198118"/>
          </a:xfrm>
        </xdr:grpSpPr>
        <xdr:cxnSp macro="">
          <xdr:nvCxnSpPr>
            <xdr:cNvPr id="566" name="Straight Connector 565">
              <a:extLst>
                <a:ext uri="{FF2B5EF4-FFF2-40B4-BE49-F238E27FC236}">
                  <a16:creationId xmlns:a16="http://schemas.microsoft.com/office/drawing/2014/main" id="{00000000-0008-0000-0300-000036020000}"/>
                </a:ext>
              </a:extLst>
            </xdr:cNvPr>
            <xdr:cNvCxnSpPr/>
          </xdr:nvCxnSpPr>
          <xdr:spPr>
            <a:xfrm>
              <a:off x="8240518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7" name="Straight Connector 566">
              <a:extLst>
                <a:ext uri="{FF2B5EF4-FFF2-40B4-BE49-F238E27FC236}">
                  <a16:creationId xmlns:a16="http://schemas.microsoft.com/office/drawing/2014/main" id="{00000000-0008-0000-0300-000037020000}"/>
                </a:ext>
              </a:extLst>
            </xdr:cNvPr>
            <xdr:cNvCxnSpPr/>
          </xdr:nvCxnSpPr>
          <xdr:spPr>
            <a:xfrm>
              <a:off x="8352484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8" name="Straight Connector 567">
              <a:extLst>
                <a:ext uri="{FF2B5EF4-FFF2-40B4-BE49-F238E27FC236}">
                  <a16:creationId xmlns:a16="http://schemas.microsoft.com/office/drawing/2014/main" id="{00000000-0008-0000-0300-000038020000}"/>
                </a:ext>
              </a:extLst>
            </xdr:cNvPr>
            <xdr:cNvCxnSpPr/>
          </xdr:nvCxnSpPr>
          <xdr:spPr>
            <a:xfrm>
              <a:off x="8016586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9" name="Straight Connector 568">
              <a:extLst>
                <a:ext uri="{FF2B5EF4-FFF2-40B4-BE49-F238E27FC236}">
                  <a16:creationId xmlns:a16="http://schemas.microsoft.com/office/drawing/2014/main" id="{00000000-0008-0000-0300-000039020000}"/>
                </a:ext>
              </a:extLst>
            </xdr:cNvPr>
            <xdr:cNvCxnSpPr/>
          </xdr:nvCxnSpPr>
          <xdr:spPr>
            <a:xfrm>
              <a:off x="8128552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0" name="Straight Connector 569">
              <a:extLst>
                <a:ext uri="{FF2B5EF4-FFF2-40B4-BE49-F238E27FC236}">
                  <a16:creationId xmlns:a16="http://schemas.microsoft.com/office/drawing/2014/main" id="{00000000-0008-0000-0300-00003A020000}"/>
                </a:ext>
              </a:extLst>
            </xdr:cNvPr>
            <xdr:cNvCxnSpPr/>
          </xdr:nvCxnSpPr>
          <xdr:spPr>
            <a:xfrm>
              <a:off x="8296501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1" name="Straight Connector 570">
              <a:extLst>
                <a:ext uri="{FF2B5EF4-FFF2-40B4-BE49-F238E27FC236}">
                  <a16:creationId xmlns:a16="http://schemas.microsoft.com/office/drawing/2014/main" id="{00000000-0008-0000-0300-00003B020000}"/>
                </a:ext>
              </a:extLst>
            </xdr:cNvPr>
            <xdr:cNvCxnSpPr/>
          </xdr:nvCxnSpPr>
          <xdr:spPr>
            <a:xfrm>
              <a:off x="8520433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2" name="Straight Connector 571">
              <a:extLst>
                <a:ext uri="{FF2B5EF4-FFF2-40B4-BE49-F238E27FC236}">
                  <a16:creationId xmlns:a16="http://schemas.microsoft.com/office/drawing/2014/main" id="{00000000-0008-0000-0300-00003C020000}"/>
                </a:ext>
              </a:extLst>
            </xdr:cNvPr>
            <xdr:cNvCxnSpPr/>
          </xdr:nvCxnSpPr>
          <xdr:spPr>
            <a:xfrm>
              <a:off x="8800354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3" name="Straight Connector 572">
              <a:extLst>
                <a:ext uri="{FF2B5EF4-FFF2-40B4-BE49-F238E27FC236}">
                  <a16:creationId xmlns:a16="http://schemas.microsoft.com/office/drawing/2014/main" id="{00000000-0008-0000-0300-00003D020000}"/>
                </a:ext>
              </a:extLst>
            </xdr:cNvPr>
            <xdr:cNvCxnSpPr/>
          </xdr:nvCxnSpPr>
          <xdr:spPr>
            <a:xfrm>
              <a:off x="8632399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4" name="Straight Connector 573">
              <a:extLst>
                <a:ext uri="{FF2B5EF4-FFF2-40B4-BE49-F238E27FC236}">
                  <a16:creationId xmlns:a16="http://schemas.microsoft.com/office/drawing/2014/main" id="{00000000-0008-0000-0300-00003E020000}"/>
                </a:ext>
              </a:extLst>
            </xdr:cNvPr>
            <xdr:cNvCxnSpPr/>
          </xdr:nvCxnSpPr>
          <xdr:spPr>
            <a:xfrm>
              <a:off x="8576416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5" name="Straight Connector 574">
              <a:extLst>
                <a:ext uri="{FF2B5EF4-FFF2-40B4-BE49-F238E27FC236}">
                  <a16:creationId xmlns:a16="http://schemas.microsoft.com/office/drawing/2014/main" id="{00000000-0008-0000-0300-00003F020000}"/>
                </a:ext>
              </a:extLst>
            </xdr:cNvPr>
            <xdr:cNvCxnSpPr/>
          </xdr:nvCxnSpPr>
          <xdr:spPr>
            <a:xfrm>
              <a:off x="8744365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6" name="Straight Connector 575">
              <a:extLst>
                <a:ext uri="{FF2B5EF4-FFF2-40B4-BE49-F238E27FC236}">
                  <a16:creationId xmlns:a16="http://schemas.microsoft.com/office/drawing/2014/main" id="{00000000-0008-0000-0300-000040020000}"/>
                </a:ext>
              </a:extLst>
            </xdr:cNvPr>
            <xdr:cNvCxnSpPr/>
          </xdr:nvCxnSpPr>
          <xdr:spPr>
            <a:xfrm>
              <a:off x="8464450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7" name="Straight Connector 576">
              <a:extLst>
                <a:ext uri="{FF2B5EF4-FFF2-40B4-BE49-F238E27FC236}">
                  <a16:creationId xmlns:a16="http://schemas.microsoft.com/office/drawing/2014/main" id="{00000000-0008-0000-0300-000041020000}"/>
                </a:ext>
              </a:extLst>
            </xdr:cNvPr>
            <xdr:cNvCxnSpPr/>
          </xdr:nvCxnSpPr>
          <xdr:spPr>
            <a:xfrm>
              <a:off x="8072569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8" name="Straight Connector 577">
              <a:extLst>
                <a:ext uri="{FF2B5EF4-FFF2-40B4-BE49-F238E27FC236}">
                  <a16:creationId xmlns:a16="http://schemas.microsoft.com/office/drawing/2014/main" id="{00000000-0008-0000-0300-000042020000}"/>
                </a:ext>
              </a:extLst>
            </xdr:cNvPr>
            <xdr:cNvCxnSpPr/>
          </xdr:nvCxnSpPr>
          <xdr:spPr>
            <a:xfrm>
              <a:off x="8184535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9" name="Straight Connector 578">
              <a:extLst>
                <a:ext uri="{FF2B5EF4-FFF2-40B4-BE49-F238E27FC236}">
                  <a16:creationId xmlns:a16="http://schemas.microsoft.com/office/drawing/2014/main" id="{00000000-0008-0000-0300-000043020000}"/>
                </a:ext>
              </a:extLst>
            </xdr:cNvPr>
            <xdr:cNvCxnSpPr/>
          </xdr:nvCxnSpPr>
          <xdr:spPr>
            <a:xfrm>
              <a:off x="8408467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0" name="Straight Connector 579">
              <a:extLst>
                <a:ext uri="{FF2B5EF4-FFF2-40B4-BE49-F238E27FC236}">
                  <a16:creationId xmlns:a16="http://schemas.microsoft.com/office/drawing/2014/main" id="{00000000-0008-0000-0300-000044020000}"/>
                </a:ext>
              </a:extLst>
            </xdr:cNvPr>
            <xdr:cNvCxnSpPr/>
          </xdr:nvCxnSpPr>
          <xdr:spPr>
            <a:xfrm>
              <a:off x="8688382" y="190500"/>
              <a:ext cx="0" cy="198118"/>
            </a:xfrm>
            <a:prstGeom prst="line">
              <a:avLst/>
            </a:pr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300-000017020000}"/>
              </a:ext>
            </a:extLst>
          </xdr:cNvPr>
          <xdr:cNvSpPr/>
        </xdr:nvSpPr>
        <xdr:spPr>
          <a:xfrm rot="2491459" flipH="1">
            <a:off x="6796170" y="18142618"/>
            <a:ext cx="762276" cy="43681"/>
          </a:xfrm>
          <a:prstGeom prst="rect">
            <a:avLst/>
          </a:pr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36" name="Freeform 535">
            <a:extLst>
              <a:ext uri="{FF2B5EF4-FFF2-40B4-BE49-F238E27FC236}">
                <a16:creationId xmlns:a16="http://schemas.microsoft.com/office/drawing/2014/main" id="{00000000-0008-0000-0300-000018020000}"/>
              </a:ext>
            </a:extLst>
          </xdr:cNvPr>
          <xdr:cNvSpPr/>
        </xdr:nvSpPr>
        <xdr:spPr>
          <a:xfrm flipH="1">
            <a:off x="6315770" y="18459483"/>
            <a:ext cx="1173416" cy="983235"/>
          </a:xfrm>
          <a:custGeom>
            <a:avLst/>
            <a:gdLst>
              <a:gd name="connsiteX0" fmla="*/ 0 w 1476375"/>
              <a:gd name="connsiteY0" fmla="*/ 1143000 h 1152525"/>
              <a:gd name="connsiteX1" fmla="*/ 0 w 1476375"/>
              <a:gd name="connsiteY1" fmla="*/ 0 h 1152525"/>
              <a:gd name="connsiteX2" fmla="*/ 1476375 w 1476375"/>
              <a:gd name="connsiteY2" fmla="*/ 0 h 1152525"/>
              <a:gd name="connsiteX3" fmla="*/ 1476375 w 1476375"/>
              <a:gd name="connsiteY3" fmla="*/ 1152525 h 1152525"/>
              <a:gd name="connsiteX4" fmla="*/ 1352550 w 1476375"/>
              <a:gd name="connsiteY4" fmla="*/ 1152525 h 1152525"/>
              <a:gd name="connsiteX5" fmla="*/ 1352550 w 1476375"/>
              <a:gd name="connsiteY5" fmla="*/ 381000 h 1152525"/>
              <a:gd name="connsiteX6" fmla="*/ 133350 w 1476375"/>
              <a:gd name="connsiteY6" fmla="*/ 381000 h 1152525"/>
              <a:gd name="connsiteX7" fmla="*/ 133350 w 1476375"/>
              <a:gd name="connsiteY7" fmla="*/ 1143000 h 1152525"/>
              <a:gd name="connsiteX8" fmla="*/ 0 w 1476375"/>
              <a:gd name="connsiteY8" fmla="*/ 1143000 h 1152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476375" h="1152525">
                <a:moveTo>
                  <a:pt x="0" y="1143000"/>
                </a:moveTo>
                <a:lnTo>
                  <a:pt x="0" y="0"/>
                </a:lnTo>
                <a:lnTo>
                  <a:pt x="1476375" y="0"/>
                </a:lnTo>
                <a:lnTo>
                  <a:pt x="1476375" y="1152525"/>
                </a:lnTo>
                <a:lnTo>
                  <a:pt x="1352550" y="1152525"/>
                </a:lnTo>
                <a:lnTo>
                  <a:pt x="1352550" y="381000"/>
                </a:lnTo>
                <a:lnTo>
                  <a:pt x="133350" y="381000"/>
                </a:lnTo>
                <a:lnTo>
                  <a:pt x="133350" y="1143000"/>
                </a:lnTo>
                <a:lnTo>
                  <a:pt x="0" y="1143000"/>
                </a:lnTo>
                <a:close/>
              </a:path>
            </a:pathLst>
          </a:cu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37" name="Freeform 536">
            <a:extLst>
              <a:ext uri="{FF2B5EF4-FFF2-40B4-BE49-F238E27FC236}">
                <a16:creationId xmlns:a16="http://schemas.microsoft.com/office/drawing/2014/main" id="{00000000-0008-0000-0300-000019020000}"/>
              </a:ext>
            </a:extLst>
          </xdr:cNvPr>
          <xdr:cNvSpPr/>
        </xdr:nvSpPr>
        <xdr:spPr>
          <a:xfrm flipH="1">
            <a:off x="6343865" y="18581372"/>
            <a:ext cx="1121376" cy="114547"/>
          </a:xfrm>
          <a:custGeom>
            <a:avLst/>
            <a:gdLst>
              <a:gd name="connsiteX0" fmla="*/ 902994 w 1215516"/>
              <a:gd name="connsiteY0" fmla="*/ 3705 h 389315"/>
              <a:gd name="connsiteX1" fmla="*/ 259104 w 1215516"/>
              <a:gd name="connsiteY1" fmla="*/ 384705 h 389315"/>
              <a:gd name="connsiteX2" fmla="*/ 24 w 1215516"/>
              <a:gd name="connsiteY2" fmla="*/ 201825 h 389315"/>
              <a:gd name="connsiteX3" fmla="*/ 270534 w 1215516"/>
              <a:gd name="connsiteY3" fmla="*/ 7515 h 389315"/>
              <a:gd name="connsiteX4" fmla="*/ 922044 w 1215516"/>
              <a:gd name="connsiteY4" fmla="*/ 380895 h 389315"/>
              <a:gd name="connsiteX5" fmla="*/ 1215414 w 1215516"/>
              <a:gd name="connsiteY5" fmla="*/ 201825 h 389315"/>
              <a:gd name="connsiteX6" fmla="*/ 902994 w 1215516"/>
              <a:gd name="connsiteY6" fmla="*/ 3705 h 389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215516" h="389315">
                <a:moveTo>
                  <a:pt x="902994" y="3705"/>
                </a:moveTo>
                <a:cubicBezTo>
                  <a:pt x="743609" y="34185"/>
                  <a:pt x="409599" y="351685"/>
                  <a:pt x="259104" y="384705"/>
                </a:cubicBezTo>
                <a:cubicBezTo>
                  <a:pt x="108609" y="417725"/>
                  <a:pt x="-1881" y="264690"/>
                  <a:pt x="24" y="201825"/>
                </a:cubicBezTo>
                <a:cubicBezTo>
                  <a:pt x="1929" y="138960"/>
                  <a:pt x="116864" y="-22330"/>
                  <a:pt x="270534" y="7515"/>
                </a:cubicBezTo>
                <a:cubicBezTo>
                  <a:pt x="424204" y="37360"/>
                  <a:pt x="764564" y="348510"/>
                  <a:pt x="922044" y="380895"/>
                </a:cubicBezTo>
                <a:cubicBezTo>
                  <a:pt x="1079524" y="413280"/>
                  <a:pt x="1219859" y="264690"/>
                  <a:pt x="1215414" y="201825"/>
                </a:cubicBezTo>
                <a:cubicBezTo>
                  <a:pt x="1210969" y="138960"/>
                  <a:pt x="1062379" y="-26775"/>
                  <a:pt x="902994" y="3705"/>
                </a:cubicBezTo>
                <a:close/>
              </a:path>
            </a:pathLst>
          </a:custGeom>
          <a:solidFill>
            <a:schemeClr val="bg1">
              <a:lumMod val="95000"/>
            </a:schemeClr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300-00001A020000}"/>
              </a:ext>
            </a:extLst>
          </xdr:cNvPr>
          <xdr:cNvSpPr/>
        </xdr:nvSpPr>
        <xdr:spPr>
          <a:xfrm rot="19108541">
            <a:off x="6268193" y="18196508"/>
            <a:ext cx="599790" cy="39004"/>
          </a:xfrm>
          <a:prstGeom prst="rect">
            <a:avLst/>
          </a:pr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39" name="Oval 538">
            <a:extLst>
              <a:ext uri="{FF2B5EF4-FFF2-40B4-BE49-F238E27FC236}">
                <a16:creationId xmlns:a16="http://schemas.microsoft.com/office/drawing/2014/main" id="{00000000-0008-0000-0300-00001B020000}"/>
              </a:ext>
            </a:extLst>
          </xdr:cNvPr>
          <xdr:cNvSpPr/>
        </xdr:nvSpPr>
        <xdr:spPr>
          <a:xfrm flipH="1">
            <a:off x="6750993" y="17760655"/>
            <a:ext cx="307121" cy="307121"/>
          </a:xfrm>
          <a:prstGeom prst="ellipse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300-00001C020000}"/>
              </a:ext>
            </a:extLst>
          </xdr:cNvPr>
          <xdr:cNvGrpSpPr/>
        </xdr:nvGrpSpPr>
        <xdr:grpSpPr>
          <a:xfrm flipH="1">
            <a:off x="7441676" y="18386350"/>
            <a:ext cx="157643" cy="157191"/>
            <a:chOff x="9843135" y="1114425"/>
            <a:chExt cx="184785" cy="184256"/>
          </a:xfrm>
        </xdr:grpSpPr>
        <xdr:sp macro="" textlink="">
          <xdr:nvSpPr>
            <xdr:cNvPr id="563" name="Freeform 562">
              <a:extLst>
                <a:ext uri="{FF2B5EF4-FFF2-40B4-BE49-F238E27FC236}">
                  <a16:creationId xmlns:a16="http://schemas.microsoft.com/office/drawing/2014/main" id="{00000000-0008-0000-0300-000033020000}"/>
                </a:ext>
              </a:extLst>
            </xdr:cNvPr>
            <xdr:cNvSpPr/>
          </xdr:nvSpPr>
          <xdr:spPr>
            <a:xfrm>
              <a:off x="9852660" y="1181101"/>
              <a:ext cx="175260" cy="36000"/>
            </a:xfrm>
            <a:custGeom>
              <a:avLst/>
              <a:gdLst>
                <a:gd name="connsiteX0" fmla="*/ 0 w 1410510"/>
                <a:gd name="connsiteY0" fmla="*/ 50247 h 111048"/>
                <a:gd name="connsiteX1" fmla="*/ 52691 w 1410510"/>
                <a:gd name="connsiteY1" fmla="*/ 1609 h 111048"/>
                <a:gd name="connsiteX2" fmla="*/ 137808 w 1410510"/>
                <a:gd name="connsiteY2" fmla="*/ 102939 h 111048"/>
                <a:gd name="connsiteX3" fmla="*/ 243191 w 1410510"/>
                <a:gd name="connsiteY3" fmla="*/ 13768 h 111048"/>
                <a:gd name="connsiteX4" fmla="*/ 344521 w 1410510"/>
                <a:gd name="connsiteY4" fmla="*/ 106992 h 111048"/>
                <a:gd name="connsiteX5" fmla="*/ 433691 w 1410510"/>
                <a:gd name="connsiteY5" fmla="*/ 17822 h 111048"/>
                <a:gd name="connsiteX6" fmla="*/ 535021 w 1410510"/>
                <a:gd name="connsiteY6" fmla="*/ 102939 h 111048"/>
                <a:gd name="connsiteX7" fmla="*/ 636351 w 1410510"/>
                <a:gd name="connsiteY7" fmla="*/ 13768 h 111048"/>
                <a:gd name="connsiteX8" fmla="*/ 701202 w 1410510"/>
                <a:gd name="connsiteY8" fmla="*/ 106992 h 111048"/>
                <a:gd name="connsiteX9" fmla="*/ 794425 w 1410510"/>
                <a:gd name="connsiteY9" fmla="*/ 17822 h 111048"/>
                <a:gd name="connsiteX10" fmla="*/ 891702 w 1410510"/>
                <a:gd name="connsiteY10" fmla="*/ 111045 h 111048"/>
                <a:gd name="connsiteX11" fmla="*/ 956553 w 1410510"/>
                <a:gd name="connsiteY11" fmla="*/ 21875 h 111048"/>
                <a:gd name="connsiteX12" fmla="*/ 1070042 w 1410510"/>
                <a:gd name="connsiteY12" fmla="*/ 102939 h 111048"/>
                <a:gd name="connsiteX13" fmla="*/ 1155159 w 1410510"/>
                <a:gd name="connsiteY13" fmla="*/ 21875 h 111048"/>
                <a:gd name="connsiteX14" fmla="*/ 1232170 w 1410510"/>
                <a:gd name="connsiteY14" fmla="*/ 111045 h 111048"/>
                <a:gd name="connsiteX15" fmla="*/ 1317287 w 1410510"/>
                <a:gd name="connsiteY15" fmla="*/ 17822 h 111048"/>
                <a:gd name="connsiteX16" fmla="*/ 1410510 w 1410510"/>
                <a:gd name="connsiteY16" fmla="*/ 70513 h 111048"/>
                <a:gd name="connsiteX0" fmla="*/ 0 w 1418616"/>
                <a:gd name="connsiteY0" fmla="*/ 50247 h 128541"/>
                <a:gd name="connsiteX1" fmla="*/ 52691 w 1418616"/>
                <a:gd name="connsiteY1" fmla="*/ 1609 h 128541"/>
                <a:gd name="connsiteX2" fmla="*/ 137808 w 1418616"/>
                <a:gd name="connsiteY2" fmla="*/ 102939 h 128541"/>
                <a:gd name="connsiteX3" fmla="*/ 243191 w 1418616"/>
                <a:gd name="connsiteY3" fmla="*/ 13768 h 128541"/>
                <a:gd name="connsiteX4" fmla="*/ 344521 w 1418616"/>
                <a:gd name="connsiteY4" fmla="*/ 106992 h 128541"/>
                <a:gd name="connsiteX5" fmla="*/ 433691 w 1418616"/>
                <a:gd name="connsiteY5" fmla="*/ 17822 h 128541"/>
                <a:gd name="connsiteX6" fmla="*/ 535021 w 1418616"/>
                <a:gd name="connsiteY6" fmla="*/ 102939 h 128541"/>
                <a:gd name="connsiteX7" fmla="*/ 636351 w 1418616"/>
                <a:gd name="connsiteY7" fmla="*/ 13768 h 128541"/>
                <a:gd name="connsiteX8" fmla="*/ 701202 w 1418616"/>
                <a:gd name="connsiteY8" fmla="*/ 106992 h 128541"/>
                <a:gd name="connsiteX9" fmla="*/ 794425 w 1418616"/>
                <a:gd name="connsiteY9" fmla="*/ 17822 h 128541"/>
                <a:gd name="connsiteX10" fmla="*/ 891702 w 1418616"/>
                <a:gd name="connsiteY10" fmla="*/ 111045 h 128541"/>
                <a:gd name="connsiteX11" fmla="*/ 956553 w 1418616"/>
                <a:gd name="connsiteY11" fmla="*/ 21875 h 128541"/>
                <a:gd name="connsiteX12" fmla="*/ 1070042 w 1418616"/>
                <a:gd name="connsiteY12" fmla="*/ 102939 h 128541"/>
                <a:gd name="connsiteX13" fmla="*/ 1155159 w 1418616"/>
                <a:gd name="connsiteY13" fmla="*/ 21875 h 128541"/>
                <a:gd name="connsiteX14" fmla="*/ 1232170 w 1418616"/>
                <a:gd name="connsiteY14" fmla="*/ 111045 h 128541"/>
                <a:gd name="connsiteX15" fmla="*/ 1317287 w 1418616"/>
                <a:gd name="connsiteY15" fmla="*/ 17822 h 128541"/>
                <a:gd name="connsiteX16" fmla="*/ 1418616 w 1418616"/>
                <a:gd name="connsiteY16" fmla="*/ 128541 h 128541"/>
                <a:gd name="connsiteX0" fmla="*/ 0 w 1418616"/>
                <a:gd name="connsiteY0" fmla="*/ 267983 h 267983"/>
                <a:gd name="connsiteX1" fmla="*/ 52691 w 1418616"/>
                <a:gd name="connsiteY1" fmla="*/ 3816 h 267983"/>
                <a:gd name="connsiteX2" fmla="*/ 137808 w 1418616"/>
                <a:gd name="connsiteY2" fmla="*/ 105146 h 267983"/>
                <a:gd name="connsiteX3" fmla="*/ 243191 w 1418616"/>
                <a:gd name="connsiteY3" fmla="*/ 15975 h 267983"/>
                <a:gd name="connsiteX4" fmla="*/ 344521 w 1418616"/>
                <a:gd name="connsiteY4" fmla="*/ 109199 h 267983"/>
                <a:gd name="connsiteX5" fmla="*/ 433691 w 1418616"/>
                <a:gd name="connsiteY5" fmla="*/ 20029 h 267983"/>
                <a:gd name="connsiteX6" fmla="*/ 535021 w 1418616"/>
                <a:gd name="connsiteY6" fmla="*/ 105146 h 267983"/>
                <a:gd name="connsiteX7" fmla="*/ 636351 w 1418616"/>
                <a:gd name="connsiteY7" fmla="*/ 15975 h 267983"/>
                <a:gd name="connsiteX8" fmla="*/ 701202 w 1418616"/>
                <a:gd name="connsiteY8" fmla="*/ 109199 h 267983"/>
                <a:gd name="connsiteX9" fmla="*/ 794425 w 1418616"/>
                <a:gd name="connsiteY9" fmla="*/ 20029 h 267983"/>
                <a:gd name="connsiteX10" fmla="*/ 891702 w 1418616"/>
                <a:gd name="connsiteY10" fmla="*/ 113252 h 267983"/>
                <a:gd name="connsiteX11" fmla="*/ 956553 w 1418616"/>
                <a:gd name="connsiteY11" fmla="*/ 24082 h 267983"/>
                <a:gd name="connsiteX12" fmla="*/ 1070042 w 1418616"/>
                <a:gd name="connsiteY12" fmla="*/ 105146 h 267983"/>
                <a:gd name="connsiteX13" fmla="*/ 1155159 w 1418616"/>
                <a:gd name="connsiteY13" fmla="*/ 24082 h 267983"/>
                <a:gd name="connsiteX14" fmla="*/ 1232170 w 1418616"/>
                <a:gd name="connsiteY14" fmla="*/ 113252 h 267983"/>
                <a:gd name="connsiteX15" fmla="*/ 1317287 w 1418616"/>
                <a:gd name="connsiteY15" fmla="*/ 20029 h 267983"/>
                <a:gd name="connsiteX16" fmla="*/ 1418616 w 1418616"/>
                <a:gd name="connsiteY16" fmla="*/ 130748 h 267983"/>
                <a:gd name="connsiteX0" fmla="*/ 0 w 1418616"/>
                <a:gd name="connsiteY0" fmla="*/ 264488 h 264488"/>
                <a:gd name="connsiteX1" fmla="*/ 28372 w 1418616"/>
                <a:gd name="connsiteY1" fmla="*/ 142917 h 264488"/>
                <a:gd name="connsiteX2" fmla="*/ 52691 w 1418616"/>
                <a:gd name="connsiteY2" fmla="*/ 321 h 264488"/>
                <a:gd name="connsiteX3" fmla="*/ 137808 w 1418616"/>
                <a:gd name="connsiteY3" fmla="*/ 101651 h 264488"/>
                <a:gd name="connsiteX4" fmla="*/ 243191 w 1418616"/>
                <a:gd name="connsiteY4" fmla="*/ 12480 h 264488"/>
                <a:gd name="connsiteX5" fmla="*/ 344521 w 1418616"/>
                <a:gd name="connsiteY5" fmla="*/ 105704 h 264488"/>
                <a:gd name="connsiteX6" fmla="*/ 433691 w 1418616"/>
                <a:gd name="connsiteY6" fmla="*/ 16534 h 264488"/>
                <a:gd name="connsiteX7" fmla="*/ 535021 w 1418616"/>
                <a:gd name="connsiteY7" fmla="*/ 101651 h 264488"/>
                <a:gd name="connsiteX8" fmla="*/ 636351 w 1418616"/>
                <a:gd name="connsiteY8" fmla="*/ 12480 h 264488"/>
                <a:gd name="connsiteX9" fmla="*/ 701202 w 1418616"/>
                <a:gd name="connsiteY9" fmla="*/ 105704 h 264488"/>
                <a:gd name="connsiteX10" fmla="*/ 794425 w 1418616"/>
                <a:gd name="connsiteY10" fmla="*/ 16534 h 264488"/>
                <a:gd name="connsiteX11" fmla="*/ 891702 w 1418616"/>
                <a:gd name="connsiteY11" fmla="*/ 109757 h 264488"/>
                <a:gd name="connsiteX12" fmla="*/ 956553 w 1418616"/>
                <a:gd name="connsiteY12" fmla="*/ 20587 h 264488"/>
                <a:gd name="connsiteX13" fmla="*/ 1070042 w 1418616"/>
                <a:gd name="connsiteY13" fmla="*/ 101651 h 264488"/>
                <a:gd name="connsiteX14" fmla="*/ 1155159 w 1418616"/>
                <a:gd name="connsiteY14" fmla="*/ 20587 h 264488"/>
                <a:gd name="connsiteX15" fmla="*/ 1232170 w 1418616"/>
                <a:gd name="connsiteY15" fmla="*/ 109757 h 264488"/>
                <a:gd name="connsiteX16" fmla="*/ 1317287 w 1418616"/>
                <a:gd name="connsiteY16" fmla="*/ 16534 h 264488"/>
                <a:gd name="connsiteX17" fmla="*/ 1418616 w 1418616"/>
                <a:gd name="connsiteY17" fmla="*/ 127253 h 264488"/>
                <a:gd name="connsiteX0" fmla="*/ 6551 w 1425167"/>
                <a:gd name="connsiteY0" fmla="*/ 264181 h 264181"/>
                <a:gd name="connsiteX1" fmla="*/ 2498 w 1425167"/>
                <a:gd name="connsiteY1" fmla="*/ 109451 h 264181"/>
                <a:gd name="connsiteX2" fmla="*/ 59242 w 1425167"/>
                <a:gd name="connsiteY2" fmla="*/ 14 h 264181"/>
                <a:gd name="connsiteX3" fmla="*/ 144359 w 1425167"/>
                <a:gd name="connsiteY3" fmla="*/ 101344 h 264181"/>
                <a:gd name="connsiteX4" fmla="*/ 249742 w 1425167"/>
                <a:gd name="connsiteY4" fmla="*/ 12173 h 264181"/>
                <a:gd name="connsiteX5" fmla="*/ 351072 w 1425167"/>
                <a:gd name="connsiteY5" fmla="*/ 105397 h 264181"/>
                <a:gd name="connsiteX6" fmla="*/ 440242 w 1425167"/>
                <a:gd name="connsiteY6" fmla="*/ 16227 h 264181"/>
                <a:gd name="connsiteX7" fmla="*/ 541572 w 1425167"/>
                <a:gd name="connsiteY7" fmla="*/ 101344 h 264181"/>
                <a:gd name="connsiteX8" fmla="*/ 642902 w 1425167"/>
                <a:gd name="connsiteY8" fmla="*/ 12173 h 264181"/>
                <a:gd name="connsiteX9" fmla="*/ 707753 w 1425167"/>
                <a:gd name="connsiteY9" fmla="*/ 105397 h 264181"/>
                <a:gd name="connsiteX10" fmla="*/ 800976 w 1425167"/>
                <a:gd name="connsiteY10" fmla="*/ 16227 h 264181"/>
                <a:gd name="connsiteX11" fmla="*/ 898253 w 1425167"/>
                <a:gd name="connsiteY11" fmla="*/ 109450 h 264181"/>
                <a:gd name="connsiteX12" fmla="*/ 963104 w 1425167"/>
                <a:gd name="connsiteY12" fmla="*/ 20280 h 264181"/>
                <a:gd name="connsiteX13" fmla="*/ 1076593 w 1425167"/>
                <a:gd name="connsiteY13" fmla="*/ 101344 h 264181"/>
                <a:gd name="connsiteX14" fmla="*/ 1161710 w 1425167"/>
                <a:gd name="connsiteY14" fmla="*/ 20280 h 264181"/>
                <a:gd name="connsiteX15" fmla="*/ 1238721 w 1425167"/>
                <a:gd name="connsiteY15" fmla="*/ 109450 h 264181"/>
                <a:gd name="connsiteX16" fmla="*/ 1323838 w 1425167"/>
                <a:gd name="connsiteY16" fmla="*/ 16227 h 264181"/>
                <a:gd name="connsiteX17" fmla="*/ 1425167 w 1425167"/>
                <a:gd name="connsiteY17" fmla="*/ 126946 h 264181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408954 w 1408954"/>
                <a:gd name="connsiteY17" fmla="*/ 267869 h 267869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372477 w 1408954"/>
                <a:gd name="connsiteY17" fmla="*/ 184056 h 267869"/>
                <a:gd name="connsiteX18" fmla="*/ 1408954 w 1408954"/>
                <a:gd name="connsiteY18" fmla="*/ 267869 h 267869"/>
                <a:gd name="connsiteX0" fmla="*/ 6551 w 1424741"/>
                <a:gd name="connsiteY0" fmla="*/ 264181 h 267869"/>
                <a:gd name="connsiteX1" fmla="*/ 2498 w 1424741"/>
                <a:gd name="connsiteY1" fmla="*/ 109451 h 267869"/>
                <a:gd name="connsiteX2" fmla="*/ 59242 w 1424741"/>
                <a:gd name="connsiteY2" fmla="*/ 14 h 267869"/>
                <a:gd name="connsiteX3" fmla="*/ 144359 w 1424741"/>
                <a:gd name="connsiteY3" fmla="*/ 101344 h 267869"/>
                <a:gd name="connsiteX4" fmla="*/ 249742 w 1424741"/>
                <a:gd name="connsiteY4" fmla="*/ 12173 h 267869"/>
                <a:gd name="connsiteX5" fmla="*/ 351072 w 1424741"/>
                <a:gd name="connsiteY5" fmla="*/ 105397 h 267869"/>
                <a:gd name="connsiteX6" fmla="*/ 440242 w 1424741"/>
                <a:gd name="connsiteY6" fmla="*/ 16227 h 267869"/>
                <a:gd name="connsiteX7" fmla="*/ 541572 w 1424741"/>
                <a:gd name="connsiteY7" fmla="*/ 101344 h 267869"/>
                <a:gd name="connsiteX8" fmla="*/ 642902 w 1424741"/>
                <a:gd name="connsiteY8" fmla="*/ 12173 h 267869"/>
                <a:gd name="connsiteX9" fmla="*/ 707753 w 1424741"/>
                <a:gd name="connsiteY9" fmla="*/ 105397 h 267869"/>
                <a:gd name="connsiteX10" fmla="*/ 800976 w 1424741"/>
                <a:gd name="connsiteY10" fmla="*/ 16227 h 267869"/>
                <a:gd name="connsiteX11" fmla="*/ 898253 w 1424741"/>
                <a:gd name="connsiteY11" fmla="*/ 109450 h 267869"/>
                <a:gd name="connsiteX12" fmla="*/ 963104 w 1424741"/>
                <a:gd name="connsiteY12" fmla="*/ 20280 h 267869"/>
                <a:gd name="connsiteX13" fmla="*/ 1076593 w 1424741"/>
                <a:gd name="connsiteY13" fmla="*/ 101344 h 267869"/>
                <a:gd name="connsiteX14" fmla="*/ 1161710 w 1424741"/>
                <a:gd name="connsiteY14" fmla="*/ 20280 h 267869"/>
                <a:gd name="connsiteX15" fmla="*/ 1238721 w 1424741"/>
                <a:gd name="connsiteY15" fmla="*/ 109450 h 267869"/>
                <a:gd name="connsiteX16" fmla="*/ 1323838 w 1424741"/>
                <a:gd name="connsiteY16" fmla="*/ 16227 h 267869"/>
                <a:gd name="connsiteX17" fmla="*/ 1421115 w 1424741"/>
                <a:gd name="connsiteY17" fmla="*/ 142608 h 267869"/>
                <a:gd name="connsiteX18" fmla="*/ 1408954 w 1424741"/>
                <a:gd name="connsiteY18" fmla="*/ 267869 h 267869"/>
                <a:gd name="connsiteX0" fmla="*/ 6551 w 1426266"/>
                <a:gd name="connsiteY0" fmla="*/ 264181 h 267869"/>
                <a:gd name="connsiteX1" fmla="*/ 2498 w 1426266"/>
                <a:gd name="connsiteY1" fmla="*/ 109451 h 267869"/>
                <a:gd name="connsiteX2" fmla="*/ 59242 w 1426266"/>
                <a:gd name="connsiteY2" fmla="*/ 14 h 267869"/>
                <a:gd name="connsiteX3" fmla="*/ 144359 w 1426266"/>
                <a:gd name="connsiteY3" fmla="*/ 101344 h 267869"/>
                <a:gd name="connsiteX4" fmla="*/ 249742 w 1426266"/>
                <a:gd name="connsiteY4" fmla="*/ 12173 h 267869"/>
                <a:gd name="connsiteX5" fmla="*/ 351072 w 1426266"/>
                <a:gd name="connsiteY5" fmla="*/ 105397 h 267869"/>
                <a:gd name="connsiteX6" fmla="*/ 440242 w 1426266"/>
                <a:gd name="connsiteY6" fmla="*/ 16227 h 267869"/>
                <a:gd name="connsiteX7" fmla="*/ 541572 w 1426266"/>
                <a:gd name="connsiteY7" fmla="*/ 101344 h 267869"/>
                <a:gd name="connsiteX8" fmla="*/ 642902 w 1426266"/>
                <a:gd name="connsiteY8" fmla="*/ 12173 h 267869"/>
                <a:gd name="connsiteX9" fmla="*/ 707753 w 1426266"/>
                <a:gd name="connsiteY9" fmla="*/ 105397 h 267869"/>
                <a:gd name="connsiteX10" fmla="*/ 800976 w 1426266"/>
                <a:gd name="connsiteY10" fmla="*/ 16227 h 267869"/>
                <a:gd name="connsiteX11" fmla="*/ 898253 w 1426266"/>
                <a:gd name="connsiteY11" fmla="*/ 109450 h 267869"/>
                <a:gd name="connsiteX12" fmla="*/ 963104 w 1426266"/>
                <a:gd name="connsiteY12" fmla="*/ 20280 h 267869"/>
                <a:gd name="connsiteX13" fmla="*/ 1076593 w 1426266"/>
                <a:gd name="connsiteY13" fmla="*/ 101344 h 267869"/>
                <a:gd name="connsiteX14" fmla="*/ 1161710 w 1426266"/>
                <a:gd name="connsiteY14" fmla="*/ 20280 h 267869"/>
                <a:gd name="connsiteX15" fmla="*/ 1238721 w 1426266"/>
                <a:gd name="connsiteY15" fmla="*/ 109450 h 267869"/>
                <a:gd name="connsiteX16" fmla="*/ 1323838 w 1426266"/>
                <a:gd name="connsiteY16" fmla="*/ 16227 h 267869"/>
                <a:gd name="connsiteX17" fmla="*/ 1421115 w 1426266"/>
                <a:gd name="connsiteY17" fmla="*/ 142608 h 267869"/>
                <a:gd name="connsiteX18" fmla="*/ 1421110 w 1426266"/>
                <a:gd name="connsiteY18" fmla="*/ 267869 h 267869"/>
                <a:gd name="connsiteX0" fmla="*/ 6551 w 1421110"/>
                <a:gd name="connsiteY0" fmla="*/ 264181 h 267869"/>
                <a:gd name="connsiteX1" fmla="*/ 2498 w 1421110"/>
                <a:gd name="connsiteY1" fmla="*/ 109451 h 267869"/>
                <a:gd name="connsiteX2" fmla="*/ 59242 w 1421110"/>
                <a:gd name="connsiteY2" fmla="*/ 14 h 267869"/>
                <a:gd name="connsiteX3" fmla="*/ 144359 w 1421110"/>
                <a:gd name="connsiteY3" fmla="*/ 101344 h 267869"/>
                <a:gd name="connsiteX4" fmla="*/ 249742 w 1421110"/>
                <a:gd name="connsiteY4" fmla="*/ 12173 h 267869"/>
                <a:gd name="connsiteX5" fmla="*/ 351072 w 1421110"/>
                <a:gd name="connsiteY5" fmla="*/ 105397 h 267869"/>
                <a:gd name="connsiteX6" fmla="*/ 440242 w 1421110"/>
                <a:gd name="connsiteY6" fmla="*/ 16227 h 267869"/>
                <a:gd name="connsiteX7" fmla="*/ 541572 w 1421110"/>
                <a:gd name="connsiteY7" fmla="*/ 101344 h 267869"/>
                <a:gd name="connsiteX8" fmla="*/ 642902 w 1421110"/>
                <a:gd name="connsiteY8" fmla="*/ 12173 h 267869"/>
                <a:gd name="connsiteX9" fmla="*/ 707753 w 1421110"/>
                <a:gd name="connsiteY9" fmla="*/ 105397 h 267869"/>
                <a:gd name="connsiteX10" fmla="*/ 800976 w 1421110"/>
                <a:gd name="connsiteY10" fmla="*/ 16227 h 267869"/>
                <a:gd name="connsiteX11" fmla="*/ 898253 w 1421110"/>
                <a:gd name="connsiteY11" fmla="*/ 109450 h 267869"/>
                <a:gd name="connsiteX12" fmla="*/ 963104 w 1421110"/>
                <a:gd name="connsiteY12" fmla="*/ 20280 h 267869"/>
                <a:gd name="connsiteX13" fmla="*/ 1076593 w 1421110"/>
                <a:gd name="connsiteY13" fmla="*/ 101344 h 267869"/>
                <a:gd name="connsiteX14" fmla="*/ 1161710 w 1421110"/>
                <a:gd name="connsiteY14" fmla="*/ 20280 h 267869"/>
                <a:gd name="connsiteX15" fmla="*/ 1238721 w 1421110"/>
                <a:gd name="connsiteY15" fmla="*/ 109450 h 267869"/>
                <a:gd name="connsiteX16" fmla="*/ 1323838 w 1421110"/>
                <a:gd name="connsiteY16" fmla="*/ 16227 h 267869"/>
                <a:gd name="connsiteX17" fmla="*/ 1413010 w 1421110"/>
                <a:gd name="connsiteY17" fmla="*/ 150897 h 267869"/>
                <a:gd name="connsiteX18" fmla="*/ 1421110 w 1421110"/>
                <a:gd name="connsiteY18" fmla="*/ 267869 h 267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421110" h="267869">
                  <a:moveTo>
                    <a:pt x="6551" y="264181"/>
                  </a:moveTo>
                  <a:cubicBezTo>
                    <a:pt x="11280" y="243919"/>
                    <a:pt x="-6284" y="153479"/>
                    <a:pt x="2498" y="109451"/>
                  </a:cubicBezTo>
                  <a:cubicBezTo>
                    <a:pt x="11280" y="65423"/>
                    <a:pt x="35599" y="1365"/>
                    <a:pt x="59242" y="14"/>
                  </a:cubicBezTo>
                  <a:cubicBezTo>
                    <a:pt x="82885" y="-1337"/>
                    <a:pt x="112609" y="99318"/>
                    <a:pt x="144359" y="101344"/>
                  </a:cubicBezTo>
                  <a:cubicBezTo>
                    <a:pt x="176109" y="103370"/>
                    <a:pt x="215290" y="11498"/>
                    <a:pt x="249742" y="12173"/>
                  </a:cubicBezTo>
                  <a:cubicBezTo>
                    <a:pt x="284194" y="12848"/>
                    <a:pt x="319322" y="104721"/>
                    <a:pt x="351072" y="105397"/>
                  </a:cubicBezTo>
                  <a:cubicBezTo>
                    <a:pt x="382822" y="106073"/>
                    <a:pt x="408492" y="16902"/>
                    <a:pt x="440242" y="16227"/>
                  </a:cubicBezTo>
                  <a:cubicBezTo>
                    <a:pt x="471992" y="15552"/>
                    <a:pt x="507795" y="102020"/>
                    <a:pt x="541572" y="101344"/>
                  </a:cubicBezTo>
                  <a:cubicBezTo>
                    <a:pt x="575349" y="100668"/>
                    <a:pt x="615205" y="11498"/>
                    <a:pt x="642902" y="12173"/>
                  </a:cubicBezTo>
                  <a:cubicBezTo>
                    <a:pt x="670599" y="12848"/>
                    <a:pt x="681407" y="104721"/>
                    <a:pt x="707753" y="105397"/>
                  </a:cubicBezTo>
                  <a:cubicBezTo>
                    <a:pt x="734099" y="106073"/>
                    <a:pt x="769226" y="15552"/>
                    <a:pt x="800976" y="16227"/>
                  </a:cubicBezTo>
                  <a:cubicBezTo>
                    <a:pt x="832726" y="16902"/>
                    <a:pt x="871232" y="108775"/>
                    <a:pt x="898253" y="109450"/>
                  </a:cubicBezTo>
                  <a:cubicBezTo>
                    <a:pt x="925274" y="110126"/>
                    <a:pt x="933381" y="21631"/>
                    <a:pt x="963104" y="20280"/>
                  </a:cubicBezTo>
                  <a:cubicBezTo>
                    <a:pt x="992827" y="18929"/>
                    <a:pt x="1043492" y="101344"/>
                    <a:pt x="1076593" y="101344"/>
                  </a:cubicBezTo>
                  <a:cubicBezTo>
                    <a:pt x="1109694" y="101344"/>
                    <a:pt x="1134689" y="18929"/>
                    <a:pt x="1161710" y="20280"/>
                  </a:cubicBezTo>
                  <a:cubicBezTo>
                    <a:pt x="1188731" y="21631"/>
                    <a:pt x="1211700" y="110126"/>
                    <a:pt x="1238721" y="109450"/>
                  </a:cubicBezTo>
                  <a:cubicBezTo>
                    <a:pt x="1265742" y="108775"/>
                    <a:pt x="1294790" y="9319"/>
                    <a:pt x="1323838" y="16227"/>
                  </a:cubicBezTo>
                  <a:cubicBezTo>
                    <a:pt x="1352886" y="23135"/>
                    <a:pt x="1398824" y="108957"/>
                    <a:pt x="1413010" y="150897"/>
                  </a:cubicBezTo>
                  <a:cubicBezTo>
                    <a:pt x="1427196" y="192837"/>
                    <a:pt x="1415031" y="253900"/>
                    <a:pt x="1421110" y="267869"/>
                  </a:cubicBez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64" name="Pie 563">
              <a:extLst>
                <a:ext uri="{FF2B5EF4-FFF2-40B4-BE49-F238E27FC236}">
                  <a16:creationId xmlns:a16="http://schemas.microsoft.com/office/drawing/2014/main" id="{00000000-0008-0000-0300-000034020000}"/>
                </a:ext>
              </a:extLst>
            </xdr:cNvPr>
            <xdr:cNvSpPr/>
          </xdr:nvSpPr>
          <xdr:spPr>
            <a:xfrm>
              <a:off x="9846580" y="1118681"/>
              <a:ext cx="180000" cy="180000"/>
            </a:xfrm>
            <a:prstGeom prst="pie">
              <a:avLst>
                <a:gd name="adj1" fmla="val 0"/>
                <a:gd name="adj2" fmla="val 10617579"/>
              </a:avLst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65" name="Oval 564">
              <a:extLst>
                <a:ext uri="{FF2B5EF4-FFF2-40B4-BE49-F238E27FC236}">
                  <a16:creationId xmlns:a16="http://schemas.microsoft.com/office/drawing/2014/main" id="{00000000-0008-0000-0300-000035020000}"/>
                </a:ext>
              </a:extLst>
            </xdr:cNvPr>
            <xdr:cNvSpPr/>
          </xdr:nvSpPr>
          <xdr:spPr>
            <a:xfrm>
              <a:off x="9843135" y="1114425"/>
              <a:ext cx="180975" cy="180975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541" name="Group 540">
            <a:extLst>
              <a:ext uri="{FF2B5EF4-FFF2-40B4-BE49-F238E27FC236}">
                <a16:creationId xmlns:a16="http://schemas.microsoft.com/office/drawing/2014/main" id="{00000000-0008-0000-0300-00001D020000}"/>
              </a:ext>
            </a:extLst>
          </xdr:cNvPr>
          <xdr:cNvGrpSpPr/>
        </xdr:nvGrpSpPr>
        <xdr:grpSpPr>
          <a:xfrm flipH="1">
            <a:off x="6207681" y="18386350"/>
            <a:ext cx="156499" cy="157191"/>
            <a:chOff x="10911840" y="1143000"/>
            <a:chExt cx="183445" cy="184256"/>
          </a:xfrm>
        </xdr:grpSpPr>
        <xdr:sp macro="" textlink="">
          <xdr:nvSpPr>
            <xdr:cNvPr id="560" name="Freeform 559">
              <a:extLst>
                <a:ext uri="{FF2B5EF4-FFF2-40B4-BE49-F238E27FC236}">
                  <a16:creationId xmlns:a16="http://schemas.microsoft.com/office/drawing/2014/main" id="{00000000-0008-0000-0300-000030020000}"/>
                </a:ext>
              </a:extLst>
            </xdr:cNvPr>
            <xdr:cNvSpPr/>
          </xdr:nvSpPr>
          <xdr:spPr>
            <a:xfrm>
              <a:off x="10917555" y="1209676"/>
              <a:ext cx="175260" cy="36000"/>
            </a:xfrm>
            <a:custGeom>
              <a:avLst/>
              <a:gdLst>
                <a:gd name="connsiteX0" fmla="*/ 0 w 1410510"/>
                <a:gd name="connsiteY0" fmla="*/ 50247 h 111048"/>
                <a:gd name="connsiteX1" fmla="*/ 52691 w 1410510"/>
                <a:gd name="connsiteY1" fmla="*/ 1609 h 111048"/>
                <a:gd name="connsiteX2" fmla="*/ 137808 w 1410510"/>
                <a:gd name="connsiteY2" fmla="*/ 102939 h 111048"/>
                <a:gd name="connsiteX3" fmla="*/ 243191 w 1410510"/>
                <a:gd name="connsiteY3" fmla="*/ 13768 h 111048"/>
                <a:gd name="connsiteX4" fmla="*/ 344521 w 1410510"/>
                <a:gd name="connsiteY4" fmla="*/ 106992 h 111048"/>
                <a:gd name="connsiteX5" fmla="*/ 433691 w 1410510"/>
                <a:gd name="connsiteY5" fmla="*/ 17822 h 111048"/>
                <a:gd name="connsiteX6" fmla="*/ 535021 w 1410510"/>
                <a:gd name="connsiteY6" fmla="*/ 102939 h 111048"/>
                <a:gd name="connsiteX7" fmla="*/ 636351 w 1410510"/>
                <a:gd name="connsiteY7" fmla="*/ 13768 h 111048"/>
                <a:gd name="connsiteX8" fmla="*/ 701202 w 1410510"/>
                <a:gd name="connsiteY8" fmla="*/ 106992 h 111048"/>
                <a:gd name="connsiteX9" fmla="*/ 794425 w 1410510"/>
                <a:gd name="connsiteY9" fmla="*/ 17822 h 111048"/>
                <a:gd name="connsiteX10" fmla="*/ 891702 w 1410510"/>
                <a:gd name="connsiteY10" fmla="*/ 111045 h 111048"/>
                <a:gd name="connsiteX11" fmla="*/ 956553 w 1410510"/>
                <a:gd name="connsiteY11" fmla="*/ 21875 h 111048"/>
                <a:gd name="connsiteX12" fmla="*/ 1070042 w 1410510"/>
                <a:gd name="connsiteY12" fmla="*/ 102939 h 111048"/>
                <a:gd name="connsiteX13" fmla="*/ 1155159 w 1410510"/>
                <a:gd name="connsiteY13" fmla="*/ 21875 h 111048"/>
                <a:gd name="connsiteX14" fmla="*/ 1232170 w 1410510"/>
                <a:gd name="connsiteY14" fmla="*/ 111045 h 111048"/>
                <a:gd name="connsiteX15" fmla="*/ 1317287 w 1410510"/>
                <a:gd name="connsiteY15" fmla="*/ 17822 h 111048"/>
                <a:gd name="connsiteX16" fmla="*/ 1410510 w 1410510"/>
                <a:gd name="connsiteY16" fmla="*/ 70513 h 111048"/>
                <a:gd name="connsiteX0" fmla="*/ 0 w 1418616"/>
                <a:gd name="connsiteY0" fmla="*/ 50247 h 128541"/>
                <a:gd name="connsiteX1" fmla="*/ 52691 w 1418616"/>
                <a:gd name="connsiteY1" fmla="*/ 1609 h 128541"/>
                <a:gd name="connsiteX2" fmla="*/ 137808 w 1418616"/>
                <a:gd name="connsiteY2" fmla="*/ 102939 h 128541"/>
                <a:gd name="connsiteX3" fmla="*/ 243191 w 1418616"/>
                <a:gd name="connsiteY3" fmla="*/ 13768 h 128541"/>
                <a:gd name="connsiteX4" fmla="*/ 344521 w 1418616"/>
                <a:gd name="connsiteY4" fmla="*/ 106992 h 128541"/>
                <a:gd name="connsiteX5" fmla="*/ 433691 w 1418616"/>
                <a:gd name="connsiteY5" fmla="*/ 17822 h 128541"/>
                <a:gd name="connsiteX6" fmla="*/ 535021 w 1418616"/>
                <a:gd name="connsiteY6" fmla="*/ 102939 h 128541"/>
                <a:gd name="connsiteX7" fmla="*/ 636351 w 1418616"/>
                <a:gd name="connsiteY7" fmla="*/ 13768 h 128541"/>
                <a:gd name="connsiteX8" fmla="*/ 701202 w 1418616"/>
                <a:gd name="connsiteY8" fmla="*/ 106992 h 128541"/>
                <a:gd name="connsiteX9" fmla="*/ 794425 w 1418616"/>
                <a:gd name="connsiteY9" fmla="*/ 17822 h 128541"/>
                <a:gd name="connsiteX10" fmla="*/ 891702 w 1418616"/>
                <a:gd name="connsiteY10" fmla="*/ 111045 h 128541"/>
                <a:gd name="connsiteX11" fmla="*/ 956553 w 1418616"/>
                <a:gd name="connsiteY11" fmla="*/ 21875 h 128541"/>
                <a:gd name="connsiteX12" fmla="*/ 1070042 w 1418616"/>
                <a:gd name="connsiteY12" fmla="*/ 102939 h 128541"/>
                <a:gd name="connsiteX13" fmla="*/ 1155159 w 1418616"/>
                <a:gd name="connsiteY13" fmla="*/ 21875 h 128541"/>
                <a:gd name="connsiteX14" fmla="*/ 1232170 w 1418616"/>
                <a:gd name="connsiteY14" fmla="*/ 111045 h 128541"/>
                <a:gd name="connsiteX15" fmla="*/ 1317287 w 1418616"/>
                <a:gd name="connsiteY15" fmla="*/ 17822 h 128541"/>
                <a:gd name="connsiteX16" fmla="*/ 1418616 w 1418616"/>
                <a:gd name="connsiteY16" fmla="*/ 128541 h 128541"/>
                <a:gd name="connsiteX0" fmla="*/ 0 w 1418616"/>
                <a:gd name="connsiteY0" fmla="*/ 267983 h 267983"/>
                <a:gd name="connsiteX1" fmla="*/ 52691 w 1418616"/>
                <a:gd name="connsiteY1" fmla="*/ 3816 h 267983"/>
                <a:gd name="connsiteX2" fmla="*/ 137808 w 1418616"/>
                <a:gd name="connsiteY2" fmla="*/ 105146 h 267983"/>
                <a:gd name="connsiteX3" fmla="*/ 243191 w 1418616"/>
                <a:gd name="connsiteY3" fmla="*/ 15975 h 267983"/>
                <a:gd name="connsiteX4" fmla="*/ 344521 w 1418616"/>
                <a:gd name="connsiteY4" fmla="*/ 109199 h 267983"/>
                <a:gd name="connsiteX5" fmla="*/ 433691 w 1418616"/>
                <a:gd name="connsiteY5" fmla="*/ 20029 h 267983"/>
                <a:gd name="connsiteX6" fmla="*/ 535021 w 1418616"/>
                <a:gd name="connsiteY6" fmla="*/ 105146 h 267983"/>
                <a:gd name="connsiteX7" fmla="*/ 636351 w 1418616"/>
                <a:gd name="connsiteY7" fmla="*/ 15975 h 267983"/>
                <a:gd name="connsiteX8" fmla="*/ 701202 w 1418616"/>
                <a:gd name="connsiteY8" fmla="*/ 109199 h 267983"/>
                <a:gd name="connsiteX9" fmla="*/ 794425 w 1418616"/>
                <a:gd name="connsiteY9" fmla="*/ 20029 h 267983"/>
                <a:gd name="connsiteX10" fmla="*/ 891702 w 1418616"/>
                <a:gd name="connsiteY10" fmla="*/ 113252 h 267983"/>
                <a:gd name="connsiteX11" fmla="*/ 956553 w 1418616"/>
                <a:gd name="connsiteY11" fmla="*/ 24082 h 267983"/>
                <a:gd name="connsiteX12" fmla="*/ 1070042 w 1418616"/>
                <a:gd name="connsiteY12" fmla="*/ 105146 h 267983"/>
                <a:gd name="connsiteX13" fmla="*/ 1155159 w 1418616"/>
                <a:gd name="connsiteY13" fmla="*/ 24082 h 267983"/>
                <a:gd name="connsiteX14" fmla="*/ 1232170 w 1418616"/>
                <a:gd name="connsiteY14" fmla="*/ 113252 h 267983"/>
                <a:gd name="connsiteX15" fmla="*/ 1317287 w 1418616"/>
                <a:gd name="connsiteY15" fmla="*/ 20029 h 267983"/>
                <a:gd name="connsiteX16" fmla="*/ 1418616 w 1418616"/>
                <a:gd name="connsiteY16" fmla="*/ 130748 h 267983"/>
                <a:gd name="connsiteX0" fmla="*/ 0 w 1418616"/>
                <a:gd name="connsiteY0" fmla="*/ 264488 h 264488"/>
                <a:gd name="connsiteX1" fmla="*/ 28372 w 1418616"/>
                <a:gd name="connsiteY1" fmla="*/ 142917 h 264488"/>
                <a:gd name="connsiteX2" fmla="*/ 52691 w 1418616"/>
                <a:gd name="connsiteY2" fmla="*/ 321 h 264488"/>
                <a:gd name="connsiteX3" fmla="*/ 137808 w 1418616"/>
                <a:gd name="connsiteY3" fmla="*/ 101651 h 264488"/>
                <a:gd name="connsiteX4" fmla="*/ 243191 w 1418616"/>
                <a:gd name="connsiteY4" fmla="*/ 12480 h 264488"/>
                <a:gd name="connsiteX5" fmla="*/ 344521 w 1418616"/>
                <a:gd name="connsiteY5" fmla="*/ 105704 h 264488"/>
                <a:gd name="connsiteX6" fmla="*/ 433691 w 1418616"/>
                <a:gd name="connsiteY6" fmla="*/ 16534 h 264488"/>
                <a:gd name="connsiteX7" fmla="*/ 535021 w 1418616"/>
                <a:gd name="connsiteY7" fmla="*/ 101651 h 264488"/>
                <a:gd name="connsiteX8" fmla="*/ 636351 w 1418616"/>
                <a:gd name="connsiteY8" fmla="*/ 12480 h 264488"/>
                <a:gd name="connsiteX9" fmla="*/ 701202 w 1418616"/>
                <a:gd name="connsiteY9" fmla="*/ 105704 h 264488"/>
                <a:gd name="connsiteX10" fmla="*/ 794425 w 1418616"/>
                <a:gd name="connsiteY10" fmla="*/ 16534 h 264488"/>
                <a:gd name="connsiteX11" fmla="*/ 891702 w 1418616"/>
                <a:gd name="connsiteY11" fmla="*/ 109757 h 264488"/>
                <a:gd name="connsiteX12" fmla="*/ 956553 w 1418616"/>
                <a:gd name="connsiteY12" fmla="*/ 20587 h 264488"/>
                <a:gd name="connsiteX13" fmla="*/ 1070042 w 1418616"/>
                <a:gd name="connsiteY13" fmla="*/ 101651 h 264488"/>
                <a:gd name="connsiteX14" fmla="*/ 1155159 w 1418616"/>
                <a:gd name="connsiteY14" fmla="*/ 20587 h 264488"/>
                <a:gd name="connsiteX15" fmla="*/ 1232170 w 1418616"/>
                <a:gd name="connsiteY15" fmla="*/ 109757 h 264488"/>
                <a:gd name="connsiteX16" fmla="*/ 1317287 w 1418616"/>
                <a:gd name="connsiteY16" fmla="*/ 16534 h 264488"/>
                <a:gd name="connsiteX17" fmla="*/ 1418616 w 1418616"/>
                <a:gd name="connsiteY17" fmla="*/ 127253 h 264488"/>
                <a:gd name="connsiteX0" fmla="*/ 6551 w 1425167"/>
                <a:gd name="connsiteY0" fmla="*/ 264181 h 264181"/>
                <a:gd name="connsiteX1" fmla="*/ 2498 w 1425167"/>
                <a:gd name="connsiteY1" fmla="*/ 109451 h 264181"/>
                <a:gd name="connsiteX2" fmla="*/ 59242 w 1425167"/>
                <a:gd name="connsiteY2" fmla="*/ 14 h 264181"/>
                <a:gd name="connsiteX3" fmla="*/ 144359 w 1425167"/>
                <a:gd name="connsiteY3" fmla="*/ 101344 h 264181"/>
                <a:gd name="connsiteX4" fmla="*/ 249742 w 1425167"/>
                <a:gd name="connsiteY4" fmla="*/ 12173 h 264181"/>
                <a:gd name="connsiteX5" fmla="*/ 351072 w 1425167"/>
                <a:gd name="connsiteY5" fmla="*/ 105397 h 264181"/>
                <a:gd name="connsiteX6" fmla="*/ 440242 w 1425167"/>
                <a:gd name="connsiteY6" fmla="*/ 16227 h 264181"/>
                <a:gd name="connsiteX7" fmla="*/ 541572 w 1425167"/>
                <a:gd name="connsiteY7" fmla="*/ 101344 h 264181"/>
                <a:gd name="connsiteX8" fmla="*/ 642902 w 1425167"/>
                <a:gd name="connsiteY8" fmla="*/ 12173 h 264181"/>
                <a:gd name="connsiteX9" fmla="*/ 707753 w 1425167"/>
                <a:gd name="connsiteY9" fmla="*/ 105397 h 264181"/>
                <a:gd name="connsiteX10" fmla="*/ 800976 w 1425167"/>
                <a:gd name="connsiteY10" fmla="*/ 16227 h 264181"/>
                <a:gd name="connsiteX11" fmla="*/ 898253 w 1425167"/>
                <a:gd name="connsiteY11" fmla="*/ 109450 h 264181"/>
                <a:gd name="connsiteX12" fmla="*/ 963104 w 1425167"/>
                <a:gd name="connsiteY12" fmla="*/ 20280 h 264181"/>
                <a:gd name="connsiteX13" fmla="*/ 1076593 w 1425167"/>
                <a:gd name="connsiteY13" fmla="*/ 101344 h 264181"/>
                <a:gd name="connsiteX14" fmla="*/ 1161710 w 1425167"/>
                <a:gd name="connsiteY14" fmla="*/ 20280 h 264181"/>
                <a:gd name="connsiteX15" fmla="*/ 1238721 w 1425167"/>
                <a:gd name="connsiteY15" fmla="*/ 109450 h 264181"/>
                <a:gd name="connsiteX16" fmla="*/ 1323838 w 1425167"/>
                <a:gd name="connsiteY16" fmla="*/ 16227 h 264181"/>
                <a:gd name="connsiteX17" fmla="*/ 1425167 w 1425167"/>
                <a:gd name="connsiteY17" fmla="*/ 126946 h 264181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408954 w 1408954"/>
                <a:gd name="connsiteY17" fmla="*/ 267869 h 267869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372477 w 1408954"/>
                <a:gd name="connsiteY17" fmla="*/ 184056 h 267869"/>
                <a:gd name="connsiteX18" fmla="*/ 1408954 w 1408954"/>
                <a:gd name="connsiteY18" fmla="*/ 267869 h 267869"/>
                <a:gd name="connsiteX0" fmla="*/ 6551 w 1424741"/>
                <a:gd name="connsiteY0" fmla="*/ 264181 h 267869"/>
                <a:gd name="connsiteX1" fmla="*/ 2498 w 1424741"/>
                <a:gd name="connsiteY1" fmla="*/ 109451 h 267869"/>
                <a:gd name="connsiteX2" fmla="*/ 59242 w 1424741"/>
                <a:gd name="connsiteY2" fmla="*/ 14 h 267869"/>
                <a:gd name="connsiteX3" fmla="*/ 144359 w 1424741"/>
                <a:gd name="connsiteY3" fmla="*/ 101344 h 267869"/>
                <a:gd name="connsiteX4" fmla="*/ 249742 w 1424741"/>
                <a:gd name="connsiteY4" fmla="*/ 12173 h 267869"/>
                <a:gd name="connsiteX5" fmla="*/ 351072 w 1424741"/>
                <a:gd name="connsiteY5" fmla="*/ 105397 h 267869"/>
                <a:gd name="connsiteX6" fmla="*/ 440242 w 1424741"/>
                <a:gd name="connsiteY6" fmla="*/ 16227 h 267869"/>
                <a:gd name="connsiteX7" fmla="*/ 541572 w 1424741"/>
                <a:gd name="connsiteY7" fmla="*/ 101344 h 267869"/>
                <a:gd name="connsiteX8" fmla="*/ 642902 w 1424741"/>
                <a:gd name="connsiteY8" fmla="*/ 12173 h 267869"/>
                <a:gd name="connsiteX9" fmla="*/ 707753 w 1424741"/>
                <a:gd name="connsiteY9" fmla="*/ 105397 h 267869"/>
                <a:gd name="connsiteX10" fmla="*/ 800976 w 1424741"/>
                <a:gd name="connsiteY10" fmla="*/ 16227 h 267869"/>
                <a:gd name="connsiteX11" fmla="*/ 898253 w 1424741"/>
                <a:gd name="connsiteY11" fmla="*/ 109450 h 267869"/>
                <a:gd name="connsiteX12" fmla="*/ 963104 w 1424741"/>
                <a:gd name="connsiteY12" fmla="*/ 20280 h 267869"/>
                <a:gd name="connsiteX13" fmla="*/ 1076593 w 1424741"/>
                <a:gd name="connsiteY13" fmla="*/ 101344 h 267869"/>
                <a:gd name="connsiteX14" fmla="*/ 1161710 w 1424741"/>
                <a:gd name="connsiteY14" fmla="*/ 20280 h 267869"/>
                <a:gd name="connsiteX15" fmla="*/ 1238721 w 1424741"/>
                <a:gd name="connsiteY15" fmla="*/ 109450 h 267869"/>
                <a:gd name="connsiteX16" fmla="*/ 1323838 w 1424741"/>
                <a:gd name="connsiteY16" fmla="*/ 16227 h 267869"/>
                <a:gd name="connsiteX17" fmla="*/ 1421115 w 1424741"/>
                <a:gd name="connsiteY17" fmla="*/ 142608 h 267869"/>
                <a:gd name="connsiteX18" fmla="*/ 1408954 w 1424741"/>
                <a:gd name="connsiteY18" fmla="*/ 267869 h 267869"/>
                <a:gd name="connsiteX0" fmla="*/ 6551 w 1426266"/>
                <a:gd name="connsiteY0" fmla="*/ 264181 h 267869"/>
                <a:gd name="connsiteX1" fmla="*/ 2498 w 1426266"/>
                <a:gd name="connsiteY1" fmla="*/ 109451 h 267869"/>
                <a:gd name="connsiteX2" fmla="*/ 59242 w 1426266"/>
                <a:gd name="connsiteY2" fmla="*/ 14 h 267869"/>
                <a:gd name="connsiteX3" fmla="*/ 144359 w 1426266"/>
                <a:gd name="connsiteY3" fmla="*/ 101344 h 267869"/>
                <a:gd name="connsiteX4" fmla="*/ 249742 w 1426266"/>
                <a:gd name="connsiteY4" fmla="*/ 12173 h 267869"/>
                <a:gd name="connsiteX5" fmla="*/ 351072 w 1426266"/>
                <a:gd name="connsiteY5" fmla="*/ 105397 h 267869"/>
                <a:gd name="connsiteX6" fmla="*/ 440242 w 1426266"/>
                <a:gd name="connsiteY6" fmla="*/ 16227 h 267869"/>
                <a:gd name="connsiteX7" fmla="*/ 541572 w 1426266"/>
                <a:gd name="connsiteY7" fmla="*/ 101344 h 267869"/>
                <a:gd name="connsiteX8" fmla="*/ 642902 w 1426266"/>
                <a:gd name="connsiteY8" fmla="*/ 12173 h 267869"/>
                <a:gd name="connsiteX9" fmla="*/ 707753 w 1426266"/>
                <a:gd name="connsiteY9" fmla="*/ 105397 h 267869"/>
                <a:gd name="connsiteX10" fmla="*/ 800976 w 1426266"/>
                <a:gd name="connsiteY10" fmla="*/ 16227 h 267869"/>
                <a:gd name="connsiteX11" fmla="*/ 898253 w 1426266"/>
                <a:gd name="connsiteY11" fmla="*/ 109450 h 267869"/>
                <a:gd name="connsiteX12" fmla="*/ 963104 w 1426266"/>
                <a:gd name="connsiteY12" fmla="*/ 20280 h 267869"/>
                <a:gd name="connsiteX13" fmla="*/ 1076593 w 1426266"/>
                <a:gd name="connsiteY13" fmla="*/ 101344 h 267869"/>
                <a:gd name="connsiteX14" fmla="*/ 1161710 w 1426266"/>
                <a:gd name="connsiteY14" fmla="*/ 20280 h 267869"/>
                <a:gd name="connsiteX15" fmla="*/ 1238721 w 1426266"/>
                <a:gd name="connsiteY15" fmla="*/ 109450 h 267869"/>
                <a:gd name="connsiteX16" fmla="*/ 1323838 w 1426266"/>
                <a:gd name="connsiteY16" fmla="*/ 16227 h 267869"/>
                <a:gd name="connsiteX17" fmla="*/ 1421115 w 1426266"/>
                <a:gd name="connsiteY17" fmla="*/ 142608 h 267869"/>
                <a:gd name="connsiteX18" fmla="*/ 1421110 w 1426266"/>
                <a:gd name="connsiteY18" fmla="*/ 267869 h 267869"/>
                <a:gd name="connsiteX0" fmla="*/ 6551 w 1421110"/>
                <a:gd name="connsiteY0" fmla="*/ 264181 h 267869"/>
                <a:gd name="connsiteX1" fmla="*/ 2498 w 1421110"/>
                <a:gd name="connsiteY1" fmla="*/ 109451 h 267869"/>
                <a:gd name="connsiteX2" fmla="*/ 59242 w 1421110"/>
                <a:gd name="connsiteY2" fmla="*/ 14 h 267869"/>
                <a:gd name="connsiteX3" fmla="*/ 144359 w 1421110"/>
                <a:gd name="connsiteY3" fmla="*/ 101344 h 267869"/>
                <a:gd name="connsiteX4" fmla="*/ 249742 w 1421110"/>
                <a:gd name="connsiteY4" fmla="*/ 12173 h 267869"/>
                <a:gd name="connsiteX5" fmla="*/ 351072 w 1421110"/>
                <a:gd name="connsiteY5" fmla="*/ 105397 h 267869"/>
                <a:gd name="connsiteX6" fmla="*/ 440242 w 1421110"/>
                <a:gd name="connsiteY6" fmla="*/ 16227 h 267869"/>
                <a:gd name="connsiteX7" fmla="*/ 541572 w 1421110"/>
                <a:gd name="connsiteY7" fmla="*/ 101344 h 267869"/>
                <a:gd name="connsiteX8" fmla="*/ 642902 w 1421110"/>
                <a:gd name="connsiteY8" fmla="*/ 12173 h 267869"/>
                <a:gd name="connsiteX9" fmla="*/ 707753 w 1421110"/>
                <a:gd name="connsiteY9" fmla="*/ 105397 h 267869"/>
                <a:gd name="connsiteX10" fmla="*/ 800976 w 1421110"/>
                <a:gd name="connsiteY10" fmla="*/ 16227 h 267869"/>
                <a:gd name="connsiteX11" fmla="*/ 898253 w 1421110"/>
                <a:gd name="connsiteY11" fmla="*/ 109450 h 267869"/>
                <a:gd name="connsiteX12" fmla="*/ 963104 w 1421110"/>
                <a:gd name="connsiteY12" fmla="*/ 20280 h 267869"/>
                <a:gd name="connsiteX13" fmla="*/ 1076593 w 1421110"/>
                <a:gd name="connsiteY13" fmla="*/ 101344 h 267869"/>
                <a:gd name="connsiteX14" fmla="*/ 1161710 w 1421110"/>
                <a:gd name="connsiteY14" fmla="*/ 20280 h 267869"/>
                <a:gd name="connsiteX15" fmla="*/ 1238721 w 1421110"/>
                <a:gd name="connsiteY15" fmla="*/ 109450 h 267869"/>
                <a:gd name="connsiteX16" fmla="*/ 1323838 w 1421110"/>
                <a:gd name="connsiteY16" fmla="*/ 16227 h 267869"/>
                <a:gd name="connsiteX17" fmla="*/ 1413010 w 1421110"/>
                <a:gd name="connsiteY17" fmla="*/ 150897 h 267869"/>
                <a:gd name="connsiteX18" fmla="*/ 1421110 w 1421110"/>
                <a:gd name="connsiteY18" fmla="*/ 267869 h 267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421110" h="267869">
                  <a:moveTo>
                    <a:pt x="6551" y="264181"/>
                  </a:moveTo>
                  <a:cubicBezTo>
                    <a:pt x="11280" y="243919"/>
                    <a:pt x="-6284" y="153479"/>
                    <a:pt x="2498" y="109451"/>
                  </a:cubicBezTo>
                  <a:cubicBezTo>
                    <a:pt x="11280" y="65423"/>
                    <a:pt x="35599" y="1365"/>
                    <a:pt x="59242" y="14"/>
                  </a:cubicBezTo>
                  <a:cubicBezTo>
                    <a:pt x="82885" y="-1337"/>
                    <a:pt x="112609" y="99318"/>
                    <a:pt x="144359" y="101344"/>
                  </a:cubicBezTo>
                  <a:cubicBezTo>
                    <a:pt x="176109" y="103370"/>
                    <a:pt x="215290" y="11498"/>
                    <a:pt x="249742" y="12173"/>
                  </a:cubicBezTo>
                  <a:cubicBezTo>
                    <a:pt x="284194" y="12848"/>
                    <a:pt x="319322" y="104721"/>
                    <a:pt x="351072" y="105397"/>
                  </a:cubicBezTo>
                  <a:cubicBezTo>
                    <a:pt x="382822" y="106073"/>
                    <a:pt x="408492" y="16902"/>
                    <a:pt x="440242" y="16227"/>
                  </a:cubicBezTo>
                  <a:cubicBezTo>
                    <a:pt x="471992" y="15552"/>
                    <a:pt x="507795" y="102020"/>
                    <a:pt x="541572" y="101344"/>
                  </a:cubicBezTo>
                  <a:cubicBezTo>
                    <a:pt x="575349" y="100668"/>
                    <a:pt x="615205" y="11498"/>
                    <a:pt x="642902" y="12173"/>
                  </a:cubicBezTo>
                  <a:cubicBezTo>
                    <a:pt x="670599" y="12848"/>
                    <a:pt x="681407" y="104721"/>
                    <a:pt x="707753" y="105397"/>
                  </a:cubicBezTo>
                  <a:cubicBezTo>
                    <a:pt x="734099" y="106073"/>
                    <a:pt x="769226" y="15552"/>
                    <a:pt x="800976" y="16227"/>
                  </a:cubicBezTo>
                  <a:cubicBezTo>
                    <a:pt x="832726" y="16902"/>
                    <a:pt x="871232" y="108775"/>
                    <a:pt x="898253" y="109450"/>
                  </a:cubicBezTo>
                  <a:cubicBezTo>
                    <a:pt x="925274" y="110126"/>
                    <a:pt x="933381" y="21631"/>
                    <a:pt x="963104" y="20280"/>
                  </a:cubicBezTo>
                  <a:cubicBezTo>
                    <a:pt x="992827" y="18929"/>
                    <a:pt x="1043492" y="101344"/>
                    <a:pt x="1076593" y="101344"/>
                  </a:cubicBezTo>
                  <a:cubicBezTo>
                    <a:pt x="1109694" y="101344"/>
                    <a:pt x="1134689" y="18929"/>
                    <a:pt x="1161710" y="20280"/>
                  </a:cubicBezTo>
                  <a:cubicBezTo>
                    <a:pt x="1188731" y="21631"/>
                    <a:pt x="1211700" y="110126"/>
                    <a:pt x="1238721" y="109450"/>
                  </a:cubicBezTo>
                  <a:cubicBezTo>
                    <a:pt x="1265742" y="108775"/>
                    <a:pt x="1294790" y="9319"/>
                    <a:pt x="1323838" y="16227"/>
                  </a:cubicBezTo>
                  <a:cubicBezTo>
                    <a:pt x="1352886" y="23135"/>
                    <a:pt x="1398824" y="108957"/>
                    <a:pt x="1413010" y="150897"/>
                  </a:cubicBezTo>
                  <a:cubicBezTo>
                    <a:pt x="1427196" y="192837"/>
                    <a:pt x="1415031" y="253900"/>
                    <a:pt x="1421110" y="267869"/>
                  </a:cubicBez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61" name="Pie 560">
              <a:extLst>
                <a:ext uri="{FF2B5EF4-FFF2-40B4-BE49-F238E27FC236}">
                  <a16:creationId xmlns:a16="http://schemas.microsoft.com/office/drawing/2014/main" id="{00000000-0008-0000-0300-000031020000}"/>
                </a:ext>
              </a:extLst>
            </xdr:cNvPr>
            <xdr:cNvSpPr/>
          </xdr:nvSpPr>
          <xdr:spPr>
            <a:xfrm>
              <a:off x="10915285" y="1147256"/>
              <a:ext cx="180000" cy="180000"/>
            </a:xfrm>
            <a:prstGeom prst="pie">
              <a:avLst>
                <a:gd name="adj1" fmla="val 0"/>
                <a:gd name="adj2" fmla="val 10617579"/>
              </a:avLst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62" name="Oval 561">
              <a:extLst>
                <a:ext uri="{FF2B5EF4-FFF2-40B4-BE49-F238E27FC236}">
                  <a16:creationId xmlns:a16="http://schemas.microsoft.com/office/drawing/2014/main" id="{00000000-0008-0000-0300-000032020000}"/>
                </a:ext>
              </a:extLst>
            </xdr:cNvPr>
            <xdr:cNvSpPr/>
          </xdr:nvSpPr>
          <xdr:spPr>
            <a:xfrm>
              <a:off x="10911840" y="1143000"/>
              <a:ext cx="180975" cy="180975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542" name="Group 541">
            <a:extLst>
              <a:ext uri="{FF2B5EF4-FFF2-40B4-BE49-F238E27FC236}">
                <a16:creationId xmlns:a16="http://schemas.microsoft.com/office/drawing/2014/main" id="{00000000-0008-0000-0300-00001E020000}"/>
              </a:ext>
            </a:extLst>
          </xdr:cNvPr>
          <xdr:cNvGrpSpPr/>
        </xdr:nvGrpSpPr>
        <xdr:grpSpPr>
          <a:xfrm rot="10800000" flipH="1" flipV="1">
            <a:off x="6766465" y="17835413"/>
            <a:ext cx="265665" cy="179053"/>
            <a:chOff x="3305175" y="4676775"/>
            <a:chExt cx="1457325" cy="504825"/>
          </a:xfrm>
        </xdr:grpSpPr>
        <xdr:sp macro="" textlink="">
          <xdr:nvSpPr>
            <xdr:cNvPr id="550" name="Arc 549">
              <a:extLst>
                <a:ext uri="{FF2B5EF4-FFF2-40B4-BE49-F238E27FC236}">
                  <a16:creationId xmlns:a16="http://schemas.microsoft.com/office/drawing/2014/main" id="{00000000-0008-0000-0300-000026020000}"/>
                </a:ext>
              </a:extLst>
            </xdr:cNvPr>
            <xdr:cNvSpPr/>
          </xdr:nvSpPr>
          <xdr:spPr>
            <a:xfrm rot="10800000">
              <a:off x="3619500" y="46767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1" name="Arc 550">
              <a:extLst>
                <a:ext uri="{FF2B5EF4-FFF2-40B4-BE49-F238E27FC236}">
                  <a16:creationId xmlns:a16="http://schemas.microsoft.com/office/drawing/2014/main" id="{00000000-0008-0000-0300-000027020000}"/>
                </a:ext>
              </a:extLst>
            </xdr:cNvPr>
            <xdr:cNvSpPr/>
          </xdr:nvSpPr>
          <xdr:spPr>
            <a:xfrm rot="10800000">
              <a:off x="3543300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2" name="Arc 551">
              <a:extLst>
                <a:ext uri="{FF2B5EF4-FFF2-40B4-BE49-F238E27FC236}">
                  <a16:creationId xmlns:a16="http://schemas.microsoft.com/office/drawing/2014/main" id="{00000000-0008-0000-0300-000028020000}"/>
                </a:ext>
              </a:extLst>
            </xdr:cNvPr>
            <xdr:cNvSpPr/>
          </xdr:nvSpPr>
          <xdr:spPr>
            <a:xfrm rot="10800000">
              <a:off x="3562350" y="49625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3" name="Arc 552">
              <a:extLst>
                <a:ext uri="{FF2B5EF4-FFF2-40B4-BE49-F238E27FC236}">
                  <a16:creationId xmlns:a16="http://schemas.microsoft.com/office/drawing/2014/main" id="{00000000-0008-0000-0300-000029020000}"/>
                </a:ext>
              </a:extLst>
            </xdr:cNvPr>
            <xdr:cNvSpPr/>
          </xdr:nvSpPr>
          <xdr:spPr>
            <a:xfrm rot="10800000">
              <a:off x="3305175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4" name="Arc 553">
              <a:extLst>
                <a:ext uri="{FF2B5EF4-FFF2-40B4-BE49-F238E27FC236}">
                  <a16:creationId xmlns:a16="http://schemas.microsoft.com/office/drawing/2014/main" id="{00000000-0008-0000-0300-00002A020000}"/>
                </a:ext>
              </a:extLst>
            </xdr:cNvPr>
            <xdr:cNvSpPr/>
          </xdr:nvSpPr>
          <xdr:spPr>
            <a:xfrm rot="9829482">
              <a:off x="4095749" y="4857751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5" name="Arc 554">
              <a:extLst>
                <a:ext uri="{FF2B5EF4-FFF2-40B4-BE49-F238E27FC236}">
                  <a16:creationId xmlns:a16="http://schemas.microsoft.com/office/drawing/2014/main" id="{00000000-0008-0000-0300-00002B020000}"/>
                </a:ext>
              </a:extLst>
            </xdr:cNvPr>
            <xdr:cNvSpPr/>
          </xdr:nvSpPr>
          <xdr:spPr>
            <a:xfrm rot="9861198">
              <a:off x="3867150" y="49244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6" name="Arc 555">
              <a:extLst>
                <a:ext uri="{FF2B5EF4-FFF2-40B4-BE49-F238E27FC236}">
                  <a16:creationId xmlns:a16="http://schemas.microsoft.com/office/drawing/2014/main" id="{00000000-0008-0000-0300-00002C020000}"/>
                </a:ext>
              </a:extLst>
            </xdr:cNvPr>
            <xdr:cNvSpPr/>
          </xdr:nvSpPr>
          <xdr:spPr>
            <a:xfrm rot="10800000" flipH="1">
              <a:off x="3609975" y="47339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7" name="Arc 556">
              <a:extLst>
                <a:ext uri="{FF2B5EF4-FFF2-40B4-BE49-F238E27FC236}">
                  <a16:creationId xmlns:a16="http://schemas.microsoft.com/office/drawing/2014/main" id="{00000000-0008-0000-0300-00002D020000}"/>
                </a:ext>
              </a:extLst>
            </xdr:cNvPr>
            <xdr:cNvSpPr/>
          </xdr:nvSpPr>
          <xdr:spPr>
            <a:xfrm rot="10800000" flipH="1">
              <a:off x="3876675" y="47625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8" name="Arc 557">
              <a:extLst>
                <a:ext uri="{FF2B5EF4-FFF2-40B4-BE49-F238E27FC236}">
                  <a16:creationId xmlns:a16="http://schemas.microsoft.com/office/drawing/2014/main" id="{00000000-0008-0000-0300-00002E020000}"/>
                </a:ext>
              </a:extLst>
            </xdr:cNvPr>
            <xdr:cNvSpPr/>
          </xdr:nvSpPr>
          <xdr:spPr>
            <a:xfrm rot="10800000" flipH="1">
              <a:off x="4114800" y="48387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59" name="Arc 558">
              <a:extLst>
                <a:ext uri="{FF2B5EF4-FFF2-40B4-BE49-F238E27FC236}">
                  <a16:creationId xmlns:a16="http://schemas.microsoft.com/office/drawing/2014/main" id="{00000000-0008-0000-0300-00002F020000}"/>
                </a:ext>
              </a:extLst>
            </xdr:cNvPr>
            <xdr:cNvSpPr/>
          </xdr:nvSpPr>
          <xdr:spPr>
            <a:xfrm rot="10800000" flipH="1">
              <a:off x="4191000" y="470535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543" name="Circular Arrow 542">
            <a:extLst>
              <a:ext uri="{FF2B5EF4-FFF2-40B4-BE49-F238E27FC236}">
                <a16:creationId xmlns:a16="http://schemas.microsoft.com/office/drawing/2014/main" id="{00000000-0008-0000-0300-00001F020000}"/>
              </a:ext>
            </a:extLst>
          </xdr:cNvPr>
          <xdr:cNvSpPr/>
        </xdr:nvSpPr>
        <xdr:spPr>
          <a:xfrm rot="15067733">
            <a:off x="6872933" y="18788078"/>
            <a:ext cx="715763" cy="319276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708342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44" name="Circular Arrow 543">
            <a:extLst>
              <a:ext uri="{FF2B5EF4-FFF2-40B4-BE49-F238E27FC236}">
                <a16:creationId xmlns:a16="http://schemas.microsoft.com/office/drawing/2014/main" id="{00000000-0008-0000-0300-000020020000}"/>
              </a:ext>
            </a:extLst>
          </xdr:cNvPr>
          <xdr:cNvSpPr/>
        </xdr:nvSpPr>
        <xdr:spPr>
          <a:xfrm rot="6532267" flipH="1">
            <a:off x="6219513" y="18789547"/>
            <a:ext cx="715763" cy="316337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708342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45" name="TextBox 544">
            <a:extLst>
              <a:ext uri="{FF2B5EF4-FFF2-40B4-BE49-F238E27FC236}">
                <a16:creationId xmlns:a16="http://schemas.microsoft.com/office/drawing/2014/main" id="{00000000-0008-0000-0300-000021020000}"/>
              </a:ext>
            </a:extLst>
          </xdr:cNvPr>
          <xdr:cNvSpPr txBox="1"/>
        </xdr:nvSpPr>
        <xdr:spPr>
          <a:xfrm flipH="1">
            <a:off x="7387357" y="18072015"/>
            <a:ext cx="391637" cy="2086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 out</a:t>
            </a:r>
          </a:p>
        </xdr:txBody>
      </xdr:sp>
      <xdr:sp macro="" textlink="">
        <xdr:nvSpPr>
          <xdr:cNvPr id="546" name="Circular Arrow 545">
            <a:extLst>
              <a:ext uri="{FF2B5EF4-FFF2-40B4-BE49-F238E27FC236}">
                <a16:creationId xmlns:a16="http://schemas.microsoft.com/office/drawing/2014/main" id="{00000000-0008-0000-0300-000022020000}"/>
              </a:ext>
            </a:extLst>
          </xdr:cNvPr>
          <xdr:cNvSpPr/>
        </xdr:nvSpPr>
        <xdr:spPr>
          <a:xfrm rot="2304278" flipH="1">
            <a:off x="5981701" y="17862448"/>
            <a:ext cx="715590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47" name="Circular Arrow 546">
            <a:extLst>
              <a:ext uri="{FF2B5EF4-FFF2-40B4-BE49-F238E27FC236}">
                <a16:creationId xmlns:a16="http://schemas.microsoft.com/office/drawing/2014/main" id="{00000000-0008-0000-0300-000023020000}"/>
              </a:ext>
            </a:extLst>
          </xdr:cNvPr>
          <xdr:cNvSpPr/>
        </xdr:nvSpPr>
        <xdr:spPr>
          <a:xfrm rot="19295722">
            <a:off x="7090157" y="17862448"/>
            <a:ext cx="717146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48" name="TextBox 547">
            <a:extLst>
              <a:ext uri="{FF2B5EF4-FFF2-40B4-BE49-F238E27FC236}">
                <a16:creationId xmlns:a16="http://schemas.microsoft.com/office/drawing/2014/main" id="{00000000-0008-0000-0300-000024020000}"/>
              </a:ext>
            </a:extLst>
          </xdr:cNvPr>
          <xdr:cNvSpPr txBox="1"/>
        </xdr:nvSpPr>
        <xdr:spPr>
          <a:xfrm>
            <a:off x="6748162" y="18962666"/>
            <a:ext cx="349650" cy="2902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 </a:t>
            </a:r>
            <a:r>
              <a:rPr lang="en-GB" sz="800" baseline="0"/>
              <a:t>in</a:t>
            </a:r>
            <a:endParaRPr lang="en-GB" sz="800"/>
          </a:p>
        </xdr:txBody>
      </xdr:sp>
      <xdr:sp macro="" textlink="">
        <xdr:nvSpPr>
          <xdr:cNvPr id="549" name="TextBox 548">
            <a:extLst>
              <a:ext uri="{FF2B5EF4-FFF2-40B4-BE49-F238E27FC236}">
                <a16:creationId xmlns:a16="http://schemas.microsoft.com/office/drawing/2014/main" id="{00000000-0008-0000-0300-000025020000}"/>
              </a:ext>
            </a:extLst>
          </xdr:cNvPr>
          <xdr:cNvSpPr txBox="1"/>
        </xdr:nvSpPr>
        <xdr:spPr>
          <a:xfrm>
            <a:off x="6624595" y="18210681"/>
            <a:ext cx="540656" cy="3178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 cooled condenser</a:t>
            </a:r>
          </a:p>
        </xdr:txBody>
      </xdr:sp>
    </xdr:grpSp>
    <xdr:clientData/>
  </xdr:twoCellAnchor>
  <xdr:twoCellAnchor>
    <xdr:from>
      <xdr:col>18</xdr:col>
      <xdr:colOff>249868</xdr:colOff>
      <xdr:row>162</xdr:row>
      <xdr:rowOff>72277</xdr:rowOff>
    </xdr:from>
    <xdr:to>
      <xdr:col>27</xdr:col>
      <xdr:colOff>90321</xdr:colOff>
      <xdr:row>173</xdr:row>
      <xdr:rowOff>36017</xdr:rowOff>
    </xdr:to>
    <xdr:grpSp>
      <xdr:nvGrpSpPr>
        <xdr:cNvPr id="596" name="CoolingTower wet forced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GrpSpPr/>
      </xdr:nvGrpSpPr>
      <xdr:grpSpPr>
        <a:xfrm>
          <a:off x="5955343" y="26799427"/>
          <a:ext cx="2021678" cy="1744915"/>
          <a:chOff x="5834810" y="14478000"/>
          <a:chExt cx="1964358" cy="1801601"/>
        </a:xfrm>
      </xdr:grpSpPr>
      <xdr:sp macro="" textlink="">
        <xdr:nvSpPr>
          <xdr:cNvPr id="597" name="TextBox 596">
            <a:extLst>
              <a:ext uri="{FF2B5EF4-FFF2-40B4-BE49-F238E27FC236}">
                <a16:creationId xmlns:a16="http://schemas.microsoft.com/office/drawing/2014/main" id="{00000000-0008-0000-0300-000055020000}"/>
              </a:ext>
            </a:extLst>
          </xdr:cNvPr>
          <xdr:cNvSpPr txBox="1"/>
        </xdr:nvSpPr>
        <xdr:spPr>
          <a:xfrm flipH="1">
            <a:off x="7605132" y="15554062"/>
            <a:ext cx="194036" cy="3641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</a:t>
            </a:r>
            <a:r>
              <a:rPr lang="en-GB" sz="800" baseline="0"/>
              <a:t> in</a:t>
            </a:r>
            <a:endParaRPr lang="en-GB" sz="800"/>
          </a:p>
        </xdr:txBody>
      </xdr:sp>
      <xdr:sp macro="" textlink="">
        <xdr:nvSpPr>
          <xdr:cNvPr id="598" name="Freeform 597">
            <a:extLst>
              <a:ext uri="{FF2B5EF4-FFF2-40B4-BE49-F238E27FC236}">
                <a16:creationId xmlns:a16="http://schemas.microsoft.com/office/drawing/2014/main" id="{00000000-0008-0000-0300-000056020000}"/>
              </a:ext>
            </a:extLst>
          </xdr:cNvPr>
          <xdr:cNvSpPr/>
        </xdr:nvSpPr>
        <xdr:spPr>
          <a:xfrm flipH="1">
            <a:off x="7058819" y="15388576"/>
            <a:ext cx="280886" cy="23424"/>
          </a:xfrm>
          <a:custGeom>
            <a:avLst/>
            <a:gdLst>
              <a:gd name="connsiteX0" fmla="*/ 0 w 1410510"/>
              <a:gd name="connsiteY0" fmla="*/ 50247 h 111048"/>
              <a:gd name="connsiteX1" fmla="*/ 52691 w 1410510"/>
              <a:gd name="connsiteY1" fmla="*/ 1609 h 111048"/>
              <a:gd name="connsiteX2" fmla="*/ 137808 w 1410510"/>
              <a:gd name="connsiteY2" fmla="*/ 102939 h 111048"/>
              <a:gd name="connsiteX3" fmla="*/ 243191 w 1410510"/>
              <a:gd name="connsiteY3" fmla="*/ 13768 h 111048"/>
              <a:gd name="connsiteX4" fmla="*/ 344521 w 1410510"/>
              <a:gd name="connsiteY4" fmla="*/ 106992 h 111048"/>
              <a:gd name="connsiteX5" fmla="*/ 433691 w 1410510"/>
              <a:gd name="connsiteY5" fmla="*/ 17822 h 111048"/>
              <a:gd name="connsiteX6" fmla="*/ 535021 w 1410510"/>
              <a:gd name="connsiteY6" fmla="*/ 102939 h 111048"/>
              <a:gd name="connsiteX7" fmla="*/ 636351 w 1410510"/>
              <a:gd name="connsiteY7" fmla="*/ 13768 h 111048"/>
              <a:gd name="connsiteX8" fmla="*/ 701202 w 1410510"/>
              <a:gd name="connsiteY8" fmla="*/ 106992 h 111048"/>
              <a:gd name="connsiteX9" fmla="*/ 794425 w 1410510"/>
              <a:gd name="connsiteY9" fmla="*/ 17822 h 111048"/>
              <a:gd name="connsiteX10" fmla="*/ 891702 w 1410510"/>
              <a:gd name="connsiteY10" fmla="*/ 111045 h 111048"/>
              <a:gd name="connsiteX11" fmla="*/ 956553 w 1410510"/>
              <a:gd name="connsiteY11" fmla="*/ 21875 h 111048"/>
              <a:gd name="connsiteX12" fmla="*/ 1070042 w 1410510"/>
              <a:gd name="connsiteY12" fmla="*/ 102939 h 111048"/>
              <a:gd name="connsiteX13" fmla="*/ 1155159 w 1410510"/>
              <a:gd name="connsiteY13" fmla="*/ 21875 h 111048"/>
              <a:gd name="connsiteX14" fmla="*/ 1232170 w 1410510"/>
              <a:gd name="connsiteY14" fmla="*/ 111045 h 111048"/>
              <a:gd name="connsiteX15" fmla="*/ 1317287 w 1410510"/>
              <a:gd name="connsiteY15" fmla="*/ 17822 h 111048"/>
              <a:gd name="connsiteX16" fmla="*/ 1410510 w 1410510"/>
              <a:gd name="connsiteY16" fmla="*/ 70513 h 111048"/>
              <a:gd name="connsiteX0" fmla="*/ 0 w 1418616"/>
              <a:gd name="connsiteY0" fmla="*/ 50247 h 128541"/>
              <a:gd name="connsiteX1" fmla="*/ 52691 w 1418616"/>
              <a:gd name="connsiteY1" fmla="*/ 1609 h 128541"/>
              <a:gd name="connsiteX2" fmla="*/ 137808 w 1418616"/>
              <a:gd name="connsiteY2" fmla="*/ 102939 h 128541"/>
              <a:gd name="connsiteX3" fmla="*/ 243191 w 1418616"/>
              <a:gd name="connsiteY3" fmla="*/ 13768 h 128541"/>
              <a:gd name="connsiteX4" fmla="*/ 344521 w 1418616"/>
              <a:gd name="connsiteY4" fmla="*/ 106992 h 128541"/>
              <a:gd name="connsiteX5" fmla="*/ 433691 w 1418616"/>
              <a:gd name="connsiteY5" fmla="*/ 17822 h 128541"/>
              <a:gd name="connsiteX6" fmla="*/ 535021 w 1418616"/>
              <a:gd name="connsiteY6" fmla="*/ 102939 h 128541"/>
              <a:gd name="connsiteX7" fmla="*/ 636351 w 1418616"/>
              <a:gd name="connsiteY7" fmla="*/ 13768 h 128541"/>
              <a:gd name="connsiteX8" fmla="*/ 701202 w 1418616"/>
              <a:gd name="connsiteY8" fmla="*/ 106992 h 128541"/>
              <a:gd name="connsiteX9" fmla="*/ 794425 w 1418616"/>
              <a:gd name="connsiteY9" fmla="*/ 17822 h 128541"/>
              <a:gd name="connsiteX10" fmla="*/ 891702 w 1418616"/>
              <a:gd name="connsiteY10" fmla="*/ 111045 h 128541"/>
              <a:gd name="connsiteX11" fmla="*/ 956553 w 1418616"/>
              <a:gd name="connsiteY11" fmla="*/ 21875 h 128541"/>
              <a:gd name="connsiteX12" fmla="*/ 1070042 w 1418616"/>
              <a:gd name="connsiteY12" fmla="*/ 102939 h 128541"/>
              <a:gd name="connsiteX13" fmla="*/ 1155159 w 1418616"/>
              <a:gd name="connsiteY13" fmla="*/ 21875 h 128541"/>
              <a:gd name="connsiteX14" fmla="*/ 1232170 w 1418616"/>
              <a:gd name="connsiteY14" fmla="*/ 111045 h 128541"/>
              <a:gd name="connsiteX15" fmla="*/ 1317287 w 1418616"/>
              <a:gd name="connsiteY15" fmla="*/ 17822 h 128541"/>
              <a:gd name="connsiteX16" fmla="*/ 1418616 w 1418616"/>
              <a:gd name="connsiteY16" fmla="*/ 128541 h 128541"/>
              <a:gd name="connsiteX0" fmla="*/ 0 w 1418616"/>
              <a:gd name="connsiteY0" fmla="*/ 267983 h 267983"/>
              <a:gd name="connsiteX1" fmla="*/ 52691 w 1418616"/>
              <a:gd name="connsiteY1" fmla="*/ 3816 h 267983"/>
              <a:gd name="connsiteX2" fmla="*/ 137808 w 1418616"/>
              <a:gd name="connsiteY2" fmla="*/ 105146 h 267983"/>
              <a:gd name="connsiteX3" fmla="*/ 243191 w 1418616"/>
              <a:gd name="connsiteY3" fmla="*/ 15975 h 267983"/>
              <a:gd name="connsiteX4" fmla="*/ 344521 w 1418616"/>
              <a:gd name="connsiteY4" fmla="*/ 109199 h 267983"/>
              <a:gd name="connsiteX5" fmla="*/ 433691 w 1418616"/>
              <a:gd name="connsiteY5" fmla="*/ 20029 h 267983"/>
              <a:gd name="connsiteX6" fmla="*/ 535021 w 1418616"/>
              <a:gd name="connsiteY6" fmla="*/ 105146 h 267983"/>
              <a:gd name="connsiteX7" fmla="*/ 636351 w 1418616"/>
              <a:gd name="connsiteY7" fmla="*/ 15975 h 267983"/>
              <a:gd name="connsiteX8" fmla="*/ 701202 w 1418616"/>
              <a:gd name="connsiteY8" fmla="*/ 109199 h 267983"/>
              <a:gd name="connsiteX9" fmla="*/ 794425 w 1418616"/>
              <a:gd name="connsiteY9" fmla="*/ 20029 h 267983"/>
              <a:gd name="connsiteX10" fmla="*/ 891702 w 1418616"/>
              <a:gd name="connsiteY10" fmla="*/ 113252 h 267983"/>
              <a:gd name="connsiteX11" fmla="*/ 956553 w 1418616"/>
              <a:gd name="connsiteY11" fmla="*/ 24082 h 267983"/>
              <a:gd name="connsiteX12" fmla="*/ 1070042 w 1418616"/>
              <a:gd name="connsiteY12" fmla="*/ 105146 h 267983"/>
              <a:gd name="connsiteX13" fmla="*/ 1155159 w 1418616"/>
              <a:gd name="connsiteY13" fmla="*/ 24082 h 267983"/>
              <a:gd name="connsiteX14" fmla="*/ 1232170 w 1418616"/>
              <a:gd name="connsiteY14" fmla="*/ 113252 h 267983"/>
              <a:gd name="connsiteX15" fmla="*/ 1317287 w 1418616"/>
              <a:gd name="connsiteY15" fmla="*/ 20029 h 267983"/>
              <a:gd name="connsiteX16" fmla="*/ 1418616 w 1418616"/>
              <a:gd name="connsiteY16" fmla="*/ 130748 h 267983"/>
              <a:gd name="connsiteX0" fmla="*/ 0 w 1418616"/>
              <a:gd name="connsiteY0" fmla="*/ 264488 h 264488"/>
              <a:gd name="connsiteX1" fmla="*/ 28372 w 1418616"/>
              <a:gd name="connsiteY1" fmla="*/ 142917 h 264488"/>
              <a:gd name="connsiteX2" fmla="*/ 52691 w 1418616"/>
              <a:gd name="connsiteY2" fmla="*/ 321 h 264488"/>
              <a:gd name="connsiteX3" fmla="*/ 137808 w 1418616"/>
              <a:gd name="connsiteY3" fmla="*/ 101651 h 264488"/>
              <a:gd name="connsiteX4" fmla="*/ 243191 w 1418616"/>
              <a:gd name="connsiteY4" fmla="*/ 12480 h 264488"/>
              <a:gd name="connsiteX5" fmla="*/ 344521 w 1418616"/>
              <a:gd name="connsiteY5" fmla="*/ 105704 h 264488"/>
              <a:gd name="connsiteX6" fmla="*/ 433691 w 1418616"/>
              <a:gd name="connsiteY6" fmla="*/ 16534 h 264488"/>
              <a:gd name="connsiteX7" fmla="*/ 535021 w 1418616"/>
              <a:gd name="connsiteY7" fmla="*/ 101651 h 264488"/>
              <a:gd name="connsiteX8" fmla="*/ 636351 w 1418616"/>
              <a:gd name="connsiteY8" fmla="*/ 12480 h 264488"/>
              <a:gd name="connsiteX9" fmla="*/ 701202 w 1418616"/>
              <a:gd name="connsiteY9" fmla="*/ 105704 h 264488"/>
              <a:gd name="connsiteX10" fmla="*/ 794425 w 1418616"/>
              <a:gd name="connsiteY10" fmla="*/ 16534 h 264488"/>
              <a:gd name="connsiteX11" fmla="*/ 891702 w 1418616"/>
              <a:gd name="connsiteY11" fmla="*/ 109757 h 264488"/>
              <a:gd name="connsiteX12" fmla="*/ 956553 w 1418616"/>
              <a:gd name="connsiteY12" fmla="*/ 20587 h 264488"/>
              <a:gd name="connsiteX13" fmla="*/ 1070042 w 1418616"/>
              <a:gd name="connsiteY13" fmla="*/ 101651 h 264488"/>
              <a:gd name="connsiteX14" fmla="*/ 1155159 w 1418616"/>
              <a:gd name="connsiteY14" fmla="*/ 20587 h 264488"/>
              <a:gd name="connsiteX15" fmla="*/ 1232170 w 1418616"/>
              <a:gd name="connsiteY15" fmla="*/ 109757 h 264488"/>
              <a:gd name="connsiteX16" fmla="*/ 1317287 w 1418616"/>
              <a:gd name="connsiteY16" fmla="*/ 16534 h 264488"/>
              <a:gd name="connsiteX17" fmla="*/ 1418616 w 1418616"/>
              <a:gd name="connsiteY17" fmla="*/ 127253 h 264488"/>
              <a:gd name="connsiteX0" fmla="*/ 6551 w 1425167"/>
              <a:gd name="connsiteY0" fmla="*/ 264181 h 264181"/>
              <a:gd name="connsiteX1" fmla="*/ 2498 w 1425167"/>
              <a:gd name="connsiteY1" fmla="*/ 109451 h 264181"/>
              <a:gd name="connsiteX2" fmla="*/ 59242 w 1425167"/>
              <a:gd name="connsiteY2" fmla="*/ 14 h 264181"/>
              <a:gd name="connsiteX3" fmla="*/ 144359 w 1425167"/>
              <a:gd name="connsiteY3" fmla="*/ 101344 h 264181"/>
              <a:gd name="connsiteX4" fmla="*/ 249742 w 1425167"/>
              <a:gd name="connsiteY4" fmla="*/ 12173 h 264181"/>
              <a:gd name="connsiteX5" fmla="*/ 351072 w 1425167"/>
              <a:gd name="connsiteY5" fmla="*/ 105397 h 264181"/>
              <a:gd name="connsiteX6" fmla="*/ 440242 w 1425167"/>
              <a:gd name="connsiteY6" fmla="*/ 16227 h 264181"/>
              <a:gd name="connsiteX7" fmla="*/ 541572 w 1425167"/>
              <a:gd name="connsiteY7" fmla="*/ 101344 h 264181"/>
              <a:gd name="connsiteX8" fmla="*/ 642902 w 1425167"/>
              <a:gd name="connsiteY8" fmla="*/ 12173 h 264181"/>
              <a:gd name="connsiteX9" fmla="*/ 707753 w 1425167"/>
              <a:gd name="connsiteY9" fmla="*/ 105397 h 264181"/>
              <a:gd name="connsiteX10" fmla="*/ 800976 w 1425167"/>
              <a:gd name="connsiteY10" fmla="*/ 16227 h 264181"/>
              <a:gd name="connsiteX11" fmla="*/ 898253 w 1425167"/>
              <a:gd name="connsiteY11" fmla="*/ 109450 h 264181"/>
              <a:gd name="connsiteX12" fmla="*/ 963104 w 1425167"/>
              <a:gd name="connsiteY12" fmla="*/ 20280 h 264181"/>
              <a:gd name="connsiteX13" fmla="*/ 1076593 w 1425167"/>
              <a:gd name="connsiteY13" fmla="*/ 101344 h 264181"/>
              <a:gd name="connsiteX14" fmla="*/ 1161710 w 1425167"/>
              <a:gd name="connsiteY14" fmla="*/ 20280 h 264181"/>
              <a:gd name="connsiteX15" fmla="*/ 1238721 w 1425167"/>
              <a:gd name="connsiteY15" fmla="*/ 109450 h 264181"/>
              <a:gd name="connsiteX16" fmla="*/ 1323838 w 1425167"/>
              <a:gd name="connsiteY16" fmla="*/ 16227 h 264181"/>
              <a:gd name="connsiteX17" fmla="*/ 1425167 w 1425167"/>
              <a:gd name="connsiteY17" fmla="*/ 126946 h 264181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408954 w 1408954"/>
              <a:gd name="connsiteY17" fmla="*/ 267869 h 267869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372477 w 1408954"/>
              <a:gd name="connsiteY17" fmla="*/ 184056 h 267869"/>
              <a:gd name="connsiteX18" fmla="*/ 1408954 w 1408954"/>
              <a:gd name="connsiteY18" fmla="*/ 267869 h 267869"/>
              <a:gd name="connsiteX0" fmla="*/ 6551 w 1424741"/>
              <a:gd name="connsiteY0" fmla="*/ 264181 h 267869"/>
              <a:gd name="connsiteX1" fmla="*/ 2498 w 1424741"/>
              <a:gd name="connsiteY1" fmla="*/ 109451 h 267869"/>
              <a:gd name="connsiteX2" fmla="*/ 59242 w 1424741"/>
              <a:gd name="connsiteY2" fmla="*/ 14 h 267869"/>
              <a:gd name="connsiteX3" fmla="*/ 144359 w 1424741"/>
              <a:gd name="connsiteY3" fmla="*/ 101344 h 267869"/>
              <a:gd name="connsiteX4" fmla="*/ 249742 w 1424741"/>
              <a:gd name="connsiteY4" fmla="*/ 12173 h 267869"/>
              <a:gd name="connsiteX5" fmla="*/ 351072 w 1424741"/>
              <a:gd name="connsiteY5" fmla="*/ 105397 h 267869"/>
              <a:gd name="connsiteX6" fmla="*/ 440242 w 1424741"/>
              <a:gd name="connsiteY6" fmla="*/ 16227 h 267869"/>
              <a:gd name="connsiteX7" fmla="*/ 541572 w 1424741"/>
              <a:gd name="connsiteY7" fmla="*/ 101344 h 267869"/>
              <a:gd name="connsiteX8" fmla="*/ 642902 w 1424741"/>
              <a:gd name="connsiteY8" fmla="*/ 12173 h 267869"/>
              <a:gd name="connsiteX9" fmla="*/ 707753 w 1424741"/>
              <a:gd name="connsiteY9" fmla="*/ 105397 h 267869"/>
              <a:gd name="connsiteX10" fmla="*/ 800976 w 1424741"/>
              <a:gd name="connsiteY10" fmla="*/ 16227 h 267869"/>
              <a:gd name="connsiteX11" fmla="*/ 898253 w 1424741"/>
              <a:gd name="connsiteY11" fmla="*/ 109450 h 267869"/>
              <a:gd name="connsiteX12" fmla="*/ 963104 w 1424741"/>
              <a:gd name="connsiteY12" fmla="*/ 20280 h 267869"/>
              <a:gd name="connsiteX13" fmla="*/ 1076593 w 1424741"/>
              <a:gd name="connsiteY13" fmla="*/ 101344 h 267869"/>
              <a:gd name="connsiteX14" fmla="*/ 1161710 w 1424741"/>
              <a:gd name="connsiteY14" fmla="*/ 20280 h 267869"/>
              <a:gd name="connsiteX15" fmla="*/ 1238721 w 1424741"/>
              <a:gd name="connsiteY15" fmla="*/ 109450 h 267869"/>
              <a:gd name="connsiteX16" fmla="*/ 1323838 w 1424741"/>
              <a:gd name="connsiteY16" fmla="*/ 16227 h 267869"/>
              <a:gd name="connsiteX17" fmla="*/ 1421115 w 1424741"/>
              <a:gd name="connsiteY17" fmla="*/ 142608 h 267869"/>
              <a:gd name="connsiteX18" fmla="*/ 1408954 w 1424741"/>
              <a:gd name="connsiteY18" fmla="*/ 267869 h 267869"/>
              <a:gd name="connsiteX0" fmla="*/ 6551 w 1426266"/>
              <a:gd name="connsiteY0" fmla="*/ 264181 h 267869"/>
              <a:gd name="connsiteX1" fmla="*/ 2498 w 1426266"/>
              <a:gd name="connsiteY1" fmla="*/ 109451 h 267869"/>
              <a:gd name="connsiteX2" fmla="*/ 59242 w 1426266"/>
              <a:gd name="connsiteY2" fmla="*/ 14 h 267869"/>
              <a:gd name="connsiteX3" fmla="*/ 144359 w 1426266"/>
              <a:gd name="connsiteY3" fmla="*/ 101344 h 267869"/>
              <a:gd name="connsiteX4" fmla="*/ 249742 w 1426266"/>
              <a:gd name="connsiteY4" fmla="*/ 12173 h 267869"/>
              <a:gd name="connsiteX5" fmla="*/ 351072 w 1426266"/>
              <a:gd name="connsiteY5" fmla="*/ 105397 h 267869"/>
              <a:gd name="connsiteX6" fmla="*/ 440242 w 1426266"/>
              <a:gd name="connsiteY6" fmla="*/ 16227 h 267869"/>
              <a:gd name="connsiteX7" fmla="*/ 541572 w 1426266"/>
              <a:gd name="connsiteY7" fmla="*/ 101344 h 267869"/>
              <a:gd name="connsiteX8" fmla="*/ 642902 w 1426266"/>
              <a:gd name="connsiteY8" fmla="*/ 12173 h 267869"/>
              <a:gd name="connsiteX9" fmla="*/ 707753 w 1426266"/>
              <a:gd name="connsiteY9" fmla="*/ 105397 h 267869"/>
              <a:gd name="connsiteX10" fmla="*/ 800976 w 1426266"/>
              <a:gd name="connsiteY10" fmla="*/ 16227 h 267869"/>
              <a:gd name="connsiteX11" fmla="*/ 898253 w 1426266"/>
              <a:gd name="connsiteY11" fmla="*/ 109450 h 267869"/>
              <a:gd name="connsiteX12" fmla="*/ 963104 w 1426266"/>
              <a:gd name="connsiteY12" fmla="*/ 20280 h 267869"/>
              <a:gd name="connsiteX13" fmla="*/ 1076593 w 1426266"/>
              <a:gd name="connsiteY13" fmla="*/ 101344 h 267869"/>
              <a:gd name="connsiteX14" fmla="*/ 1161710 w 1426266"/>
              <a:gd name="connsiteY14" fmla="*/ 20280 h 267869"/>
              <a:gd name="connsiteX15" fmla="*/ 1238721 w 1426266"/>
              <a:gd name="connsiteY15" fmla="*/ 109450 h 267869"/>
              <a:gd name="connsiteX16" fmla="*/ 1323838 w 1426266"/>
              <a:gd name="connsiteY16" fmla="*/ 16227 h 267869"/>
              <a:gd name="connsiteX17" fmla="*/ 1421115 w 1426266"/>
              <a:gd name="connsiteY17" fmla="*/ 142608 h 267869"/>
              <a:gd name="connsiteX18" fmla="*/ 1421110 w 1426266"/>
              <a:gd name="connsiteY18" fmla="*/ 267869 h 267869"/>
              <a:gd name="connsiteX0" fmla="*/ 6551 w 1421110"/>
              <a:gd name="connsiteY0" fmla="*/ 264181 h 267869"/>
              <a:gd name="connsiteX1" fmla="*/ 2498 w 1421110"/>
              <a:gd name="connsiteY1" fmla="*/ 109451 h 267869"/>
              <a:gd name="connsiteX2" fmla="*/ 59242 w 1421110"/>
              <a:gd name="connsiteY2" fmla="*/ 14 h 267869"/>
              <a:gd name="connsiteX3" fmla="*/ 144359 w 1421110"/>
              <a:gd name="connsiteY3" fmla="*/ 101344 h 267869"/>
              <a:gd name="connsiteX4" fmla="*/ 249742 w 1421110"/>
              <a:gd name="connsiteY4" fmla="*/ 12173 h 267869"/>
              <a:gd name="connsiteX5" fmla="*/ 351072 w 1421110"/>
              <a:gd name="connsiteY5" fmla="*/ 105397 h 267869"/>
              <a:gd name="connsiteX6" fmla="*/ 440242 w 1421110"/>
              <a:gd name="connsiteY6" fmla="*/ 16227 h 267869"/>
              <a:gd name="connsiteX7" fmla="*/ 541572 w 1421110"/>
              <a:gd name="connsiteY7" fmla="*/ 101344 h 267869"/>
              <a:gd name="connsiteX8" fmla="*/ 642902 w 1421110"/>
              <a:gd name="connsiteY8" fmla="*/ 12173 h 267869"/>
              <a:gd name="connsiteX9" fmla="*/ 707753 w 1421110"/>
              <a:gd name="connsiteY9" fmla="*/ 105397 h 267869"/>
              <a:gd name="connsiteX10" fmla="*/ 800976 w 1421110"/>
              <a:gd name="connsiteY10" fmla="*/ 16227 h 267869"/>
              <a:gd name="connsiteX11" fmla="*/ 898253 w 1421110"/>
              <a:gd name="connsiteY11" fmla="*/ 109450 h 267869"/>
              <a:gd name="connsiteX12" fmla="*/ 963104 w 1421110"/>
              <a:gd name="connsiteY12" fmla="*/ 20280 h 267869"/>
              <a:gd name="connsiteX13" fmla="*/ 1076593 w 1421110"/>
              <a:gd name="connsiteY13" fmla="*/ 101344 h 267869"/>
              <a:gd name="connsiteX14" fmla="*/ 1161710 w 1421110"/>
              <a:gd name="connsiteY14" fmla="*/ 20280 h 267869"/>
              <a:gd name="connsiteX15" fmla="*/ 1238721 w 1421110"/>
              <a:gd name="connsiteY15" fmla="*/ 109450 h 267869"/>
              <a:gd name="connsiteX16" fmla="*/ 1323838 w 1421110"/>
              <a:gd name="connsiteY16" fmla="*/ 16227 h 267869"/>
              <a:gd name="connsiteX17" fmla="*/ 1413010 w 1421110"/>
              <a:gd name="connsiteY17" fmla="*/ 150897 h 267869"/>
              <a:gd name="connsiteX18" fmla="*/ 1421110 w 1421110"/>
              <a:gd name="connsiteY18" fmla="*/ 267869 h 2678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1421110" h="267869">
                <a:moveTo>
                  <a:pt x="6551" y="264181"/>
                </a:moveTo>
                <a:cubicBezTo>
                  <a:pt x="11280" y="243919"/>
                  <a:pt x="-6284" y="153479"/>
                  <a:pt x="2498" y="109451"/>
                </a:cubicBezTo>
                <a:cubicBezTo>
                  <a:pt x="11280" y="65423"/>
                  <a:pt x="35599" y="1365"/>
                  <a:pt x="59242" y="14"/>
                </a:cubicBezTo>
                <a:cubicBezTo>
                  <a:pt x="82885" y="-1337"/>
                  <a:pt x="112609" y="99318"/>
                  <a:pt x="144359" y="101344"/>
                </a:cubicBezTo>
                <a:cubicBezTo>
                  <a:pt x="176109" y="103370"/>
                  <a:pt x="215290" y="11498"/>
                  <a:pt x="249742" y="12173"/>
                </a:cubicBezTo>
                <a:cubicBezTo>
                  <a:pt x="284194" y="12848"/>
                  <a:pt x="319322" y="104721"/>
                  <a:pt x="351072" y="105397"/>
                </a:cubicBezTo>
                <a:cubicBezTo>
                  <a:pt x="382822" y="106073"/>
                  <a:pt x="408492" y="16902"/>
                  <a:pt x="440242" y="16227"/>
                </a:cubicBezTo>
                <a:cubicBezTo>
                  <a:pt x="471992" y="15552"/>
                  <a:pt x="507795" y="102020"/>
                  <a:pt x="541572" y="101344"/>
                </a:cubicBezTo>
                <a:cubicBezTo>
                  <a:pt x="575349" y="100668"/>
                  <a:pt x="615205" y="11498"/>
                  <a:pt x="642902" y="12173"/>
                </a:cubicBezTo>
                <a:cubicBezTo>
                  <a:pt x="670599" y="12848"/>
                  <a:pt x="681407" y="104721"/>
                  <a:pt x="707753" y="105397"/>
                </a:cubicBezTo>
                <a:cubicBezTo>
                  <a:pt x="734099" y="106073"/>
                  <a:pt x="769226" y="15552"/>
                  <a:pt x="800976" y="16227"/>
                </a:cubicBezTo>
                <a:cubicBezTo>
                  <a:pt x="832726" y="16902"/>
                  <a:pt x="871232" y="108775"/>
                  <a:pt x="898253" y="109450"/>
                </a:cubicBezTo>
                <a:cubicBezTo>
                  <a:pt x="925274" y="110126"/>
                  <a:pt x="933381" y="21631"/>
                  <a:pt x="963104" y="20280"/>
                </a:cubicBezTo>
                <a:cubicBezTo>
                  <a:pt x="992827" y="18929"/>
                  <a:pt x="1043492" y="101344"/>
                  <a:pt x="1076593" y="101344"/>
                </a:cubicBezTo>
                <a:cubicBezTo>
                  <a:pt x="1109694" y="101344"/>
                  <a:pt x="1134689" y="18929"/>
                  <a:pt x="1161710" y="20280"/>
                </a:cubicBezTo>
                <a:cubicBezTo>
                  <a:pt x="1188731" y="21631"/>
                  <a:pt x="1211700" y="110126"/>
                  <a:pt x="1238721" y="109450"/>
                </a:cubicBezTo>
                <a:cubicBezTo>
                  <a:pt x="1265742" y="108775"/>
                  <a:pt x="1294790" y="9319"/>
                  <a:pt x="1323838" y="16227"/>
                </a:cubicBezTo>
                <a:cubicBezTo>
                  <a:pt x="1352886" y="23135"/>
                  <a:pt x="1398824" y="108957"/>
                  <a:pt x="1413010" y="150897"/>
                </a:cubicBezTo>
                <a:cubicBezTo>
                  <a:pt x="1427196" y="192837"/>
                  <a:pt x="1415031" y="253900"/>
                  <a:pt x="1421110" y="267869"/>
                </a:cubicBezTo>
              </a:path>
            </a:pathLst>
          </a:custGeom>
          <a:solidFill>
            <a:schemeClr val="bg1">
              <a:lumMod val="75000"/>
            </a:schemeClr>
          </a:solid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99" name="Freeform 598">
            <a:extLst>
              <a:ext uri="{FF2B5EF4-FFF2-40B4-BE49-F238E27FC236}">
                <a16:creationId xmlns:a16="http://schemas.microsoft.com/office/drawing/2014/main" id="{00000000-0008-0000-0300-000057020000}"/>
              </a:ext>
            </a:extLst>
          </xdr:cNvPr>
          <xdr:cNvSpPr/>
        </xdr:nvSpPr>
        <xdr:spPr>
          <a:xfrm>
            <a:off x="6155903" y="15389631"/>
            <a:ext cx="279560" cy="23424"/>
          </a:xfrm>
          <a:custGeom>
            <a:avLst/>
            <a:gdLst>
              <a:gd name="connsiteX0" fmla="*/ 0 w 1410510"/>
              <a:gd name="connsiteY0" fmla="*/ 50247 h 111048"/>
              <a:gd name="connsiteX1" fmla="*/ 52691 w 1410510"/>
              <a:gd name="connsiteY1" fmla="*/ 1609 h 111048"/>
              <a:gd name="connsiteX2" fmla="*/ 137808 w 1410510"/>
              <a:gd name="connsiteY2" fmla="*/ 102939 h 111048"/>
              <a:gd name="connsiteX3" fmla="*/ 243191 w 1410510"/>
              <a:gd name="connsiteY3" fmla="*/ 13768 h 111048"/>
              <a:gd name="connsiteX4" fmla="*/ 344521 w 1410510"/>
              <a:gd name="connsiteY4" fmla="*/ 106992 h 111048"/>
              <a:gd name="connsiteX5" fmla="*/ 433691 w 1410510"/>
              <a:gd name="connsiteY5" fmla="*/ 17822 h 111048"/>
              <a:gd name="connsiteX6" fmla="*/ 535021 w 1410510"/>
              <a:gd name="connsiteY6" fmla="*/ 102939 h 111048"/>
              <a:gd name="connsiteX7" fmla="*/ 636351 w 1410510"/>
              <a:gd name="connsiteY7" fmla="*/ 13768 h 111048"/>
              <a:gd name="connsiteX8" fmla="*/ 701202 w 1410510"/>
              <a:gd name="connsiteY8" fmla="*/ 106992 h 111048"/>
              <a:gd name="connsiteX9" fmla="*/ 794425 w 1410510"/>
              <a:gd name="connsiteY9" fmla="*/ 17822 h 111048"/>
              <a:gd name="connsiteX10" fmla="*/ 891702 w 1410510"/>
              <a:gd name="connsiteY10" fmla="*/ 111045 h 111048"/>
              <a:gd name="connsiteX11" fmla="*/ 956553 w 1410510"/>
              <a:gd name="connsiteY11" fmla="*/ 21875 h 111048"/>
              <a:gd name="connsiteX12" fmla="*/ 1070042 w 1410510"/>
              <a:gd name="connsiteY12" fmla="*/ 102939 h 111048"/>
              <a:gd name="connsiteX13" fmla="*/ 1155159 w 1410510"/>
              <a:gd name="connsiteY13" fmla="*/ 21875 h 111048"/>
              <a:gd name="connsiteX14" fmla="*/ 1232170 w 1410510"/>
              <a:gd name="connsiteY14" fmla="*/ 111045 h 111048"/>
              <a:gd name="connsiteX15" fmla="*/ 1317287 w 1410510"/>
              <a:gd name="connsiteY15" fmla="*/ 17822 h 111048"/>
              <a:gd name="connsiteX16" fmla="*/ 1410510 w 1410510"/>
              <a:gd name="connsiteY16" fmla="*/ 70513 h 111048"/>
              <a:gd name="connsiteX0" fmla="*/ 0 w 1418616"/>
              <a:gd name="connsiteY0" fmla="*/ 50247 h 128541"/>
              <a:gd name="connsiteX1" fmla="*/ 52691 w 1418616"/>
              <a:gd name="connsiteY1" fmla="*/ 1609 h 128541"/>
              <a:gd name="connsiteX2" fmla="*/ 137808 w 1418616"/>
              <a:gd name="connsiteY2" fmla="*/ 102939 h 128541"/>
              <a:gd name="connsiteX3" fmla="*/ 243191 w 1418616"/>
              <a:gd name="connsiteY3" fmla="*/ 13768 h 128541"/>
              <a:gd name="connsiteX4" fmla="*/ 344521 w 1418616"/>
              <a:gd name="connsiteY4" fmla="*/ 106992 h 128541"/>
              <a:gd name="connsiteX5" fmla="*/ 433691 w 1418616"/>
              <a:gd name="connsiteY5" fmla="*/ 17822 h 128541"/>
              <a:gd name="connsiteX6" fmla="*/ 535021 w 1418616"/>
              <a:gd name="connsiteY6" fmla="*/ 102939 h 128541"/>
              <a:gd name="connsiteX7" fmla="*/ 636351 w 1418616"/>
              <a:gd name="connsiteY7" fmla="*/ 13768 h 128541"/>
              <a:gd name="connsiteX8" fmla="*/ 701202 w 1418616"/>
              <a:gd name="connsiteY8" fmla="*/ 106992 h 128541"/>
              <a:gd name="connsiteX9" fmla="*/ 794425 w 1418616"/>
              <a:gd name="connsiteY9" fmla="*/ 17822 h 128541"/>
              <a:gd name="connsiteX10" fmla="*/ 891702 w 1418616"/>
              <a:gd name="connsiteY10" fmla="*/ 111045 h 128541"/>
              <a:gd name="connsiteX11" fmla="*/ 956553 w 1418616"/>
              <a:gd name="connsiteY11" fmla="*/ 21875 h 128541"/>
              <a:gd name="connsiteX12" fmla="*/ 1070042 w 1418616"/>
              <a:gd name="connsiteY12" fmla="*/ 102939 h 128541"/>
              <a:gd name="connsiteX13" fmla="*/ 1155159 w 1418616"/>
              <a:gd name="connsiteY13" fmla="*/ 21875 h 128541"/>
              <a:gd name="connsiteX14" fmla="*/ 1232170 w 1418616"/>
              <a:gd name="connsiteY14" fmla="*/ 111045 h 128541"/>
              <a:gd name="connsiteX15" fmla="*/ 1317287 w 1418616"/>
              <a:gd name="connsiteY15" fmla="*/ 17822 h 128541"/>
              <a:gd name="connsiteX16" fmla="*/ 1418616 w 1418616"/>
              <a:gd name="connsiteY16" fmla="*/ 128541 h 128541"/>
              <a:gd name="connsiteX0" fmla="*/ 0 w 1418616"/>
              <a:gd name="connsiteY0" fmla="*/ 267983 h 267983"/>
              <a:gd name="connsiteX1" fmla="*/ 52691 w 1418616"/>
              <a:gd name="connsiteY1" fmla="*/ 3816 h 267983"/>
              <a:gd name="connsiteX2" fmla="*/ 137808 w 1418616"/>
              <a:gd name="connsiteY2" fmla="*/ 105146 h 267983"/>
              <a:gd name="connsiteX3" fmla="*/ 243191 w 1418616"/>
              <a:gd name="connsiteY3" fmla="*/ 15975 h 267983"/>
              <a:gd name="connsiteX4" fmla="*/ 344521 w 1418616"/>
              <a:gd name="connsiteY4" fmla="*/ 109199 h 267983"/>
              <a:gd name="connsiteX5" fmla="*/ 433691 w 1418616"/>
              <a:gd name="connsiteY5" fmla="*/ 20029 h 267983"/>
              <a:gd name="connsiteX6" fmla="*/ 535021 w 1418616"/>
              <a:gd name="connsiteY6" fmla="*/ 105146 h 267983"/>
              <a:gd name="connsiteX7" fmla="*/ 636351 w 1418616"/>
              <a:gd name="connsiteY7" fmla="*/ 15975 h 267983"/>
              <a:gd name="connsiteX8" fmla="*/ 701202 w 1418616"/>
              <a:gd name="connsiteY8" fmla="*/ 109199 h 267983"/>
              <a:gd name="connsiteX9" fmla="*/ 794425 w 1418616"/>
              <a:gd name="connsiteY9" fmla="*/ 20029 h 267983"/>
              <a:gd name="connsiteX10" fmla="*/ 891702 w 1418616"/>
              <a:gd name="connsiteY10" fmla="*/ 113252 h 267983"/>
              <a:gd name="connsiteX11" fmla="*/ 956553 w 1418616"/>
              <a:gd name="connsiteY11" fmla="*/ 24082 h 267983"/>
              <a:gd name="connsiteX12" fmla="*/ 1070042 w 1418616"/>
              <a:gd name="connsiteY12" fmla="*/ 105146 h 267983"/>
              <a:gd name="connsiteX13" fmla="*/ 1155159 w 1418616"/>
              <a:gd name="connsiteY13" fmla="*/ 24082 h 267983"/>
              <a:gd name="connsiteX14" fmla="*/ 1232170 w 1418616"/>
              <a:gd name="connsiteY14" fmla="*/ 113252 h 267983"/>
              <a:gd name="connsiteX15" fmla="*/ 1317287 w 1418616"/>
              <a:gd name="connsiteY15" fmla="*/ 20029 h 267983"/>
              <a:gd name="connsiteX16" fmla="*/ 1418616 w 1418616"/>
              <a:gd name="connsiteY16" fmla="*/ 130748 h 267983"/>
              <a:gd name="connsiteX0" fmla="*/ 0 w 1418616"/>
              <a:gd name="connsiteY0" fmla="*/ 264488 h 264488"/>
              <a:gd name="connsiteX1" fmla="*/ 28372 w 1418616"/>
              <a:gd name="connsiteY1" fmla="*/ 142917 h 264488"/>
              <a:gd name="connsiteX2" fmla="*/ 52691 w 1418616"/>
              <a:gd name="connsiteY2" fmla="*/ 321 h 264488"/>
              <a:gd name="connsiteX3" fmla="*/ 137808 w 1418616"/>
              <a:gd name="connsiteY3" fmla="*/ 101651 h 264488"/>
              <a:gd name="connsiteX4" fmla="*/ 243191 w 1418616"/>
              <a:gd name="connsiteY4" fmla="*/ 12480 h 264488"/>
              <a:gd name="connsiteX5" fmla="*/ 344521 w 1418616"/>
              <a:gd name="connsiteY5" fmla="*/ 105704 h 264488"/>
              <a:gd name="connsiteX6" fmla="*/ 433691 w 1418616"/>
              <a:gd name="connsiteY6" fmla="*/ 16534 h 264488"/>
              <a:gd name="connsiteX7" fmla="*/ 535021 w 1418616"/>
              <a:gd name="connsiteY7" fmla="*/ 101651 h 264488"/>
              <a:gd name="connsiteX8" fmla="*/ 636351 w 1418616"/>
              <a:gd name="connsiteY8" fmla="*/ 12480 h 264488"/>
              <a:gd name="connsiteX9" fmla="*/ 701202 w 1418616"/>
              <a:gd name="connsiteY9" fmla="*/ 105704 h 264488"/>
              <a:gd name="connsiteX10" fmla="*/ 794425 w 1418616"/>
              <a:gd name="connsiteY10" fmla="*/ 16534 h 264488"/>
              <a:gd name="connsiteX11" fmla="*/ 891702 w 1418616"/>
              <a:gd name="connsiteY11" fmla="*/ 109757 h 264488"/>
              <a:gd name="connsiteX12" fmla="*/ 956553 w 1418616"/>
              <a:gd name="connsiteY12" fmla="*/ 20587 h 264488"/>
              <a:gd name="connsiteX13" fmla="*/ 1070042 w 1418616"/>
              <a:gd name="connsiteY13" fmla="*/ 101651 h 264488"/>
              <a:gd name="connsiteX14" fmla="*/ 1155159 w 1418616"/>
              <a:gd name="connsiteY14" fmla="*/ 20587 h 264488"/>
              <a:gd name="connsiteX15" fmla="*/ 1232170 w 1418616"/>
              <a:gd name="connsiteY15" fmla="*/ 109757 h 264488"/>
              <a:gd name="connsiteX16" fmla="*/ 1317287 w 1418616"/>
              <a:gd name="connsiteY16" fmla="*/ 16534 h 264488"/>
              <a:gd name="connsiteX17" fmla="*/ 1418616 w 1418616"/>
              <a:gd name="connsiteY17" fmla="*/ 127253 h 264488"/>
              <a:gd name="connsiteX0" fmla="*/ 6551 w 1425167"/>
              <a:gd name="connsiteY0" fmla="*/ 264181 h 264181"/>
              <a:gd name="connsiteX1" fmla="*/ 2498 w 1425167"/>
              <a:gd name="connsiteY1" fmla="*/ 109451 h 264181"/>
              <a:gd name="connsiteX2" fmla="*/ 59242 w 1425167"/>
              <a:gd name="connsiteY2" fmla="*/ 14 h 264181"/>
              <a:gd name="connsiteX3" fmla="*/ 144359 w 1425167"/>
              <a:gd name="connsiteY3" fmla="*/ 101344 h 264181"/>
              <a:gd name="connsiteX4" fmla="*/ 249742 w 1425167"/>
              <a:gd name="connsiteY4" fmla="*/ 12173 h 264181"/>
              <a:gd name="connsiteX5" fmla="*/ 351072 w 1425167"/>
              <a:gd name="connsiteY5" fmla="*/ 105397 h 264181"/>
              <a:gd name="connsiteX6" fmla="*/ 440242 w 1425167"/>
              <a:gd name="connsiteY6" fmla="*/ 16227 h 264181"/>
              <a:gd name="connsiteX7" fmla="*/ 541572 w 1425167"/>
              <a:gd name="connsiteY7" fmla="*/ 101344 h 264181"/>
              <a:gd name="connsiteX8" fmla="*/ 642902 w 1425167"/>
              <a:gd name="connsiteY8" fmla="*/ 12173 h 264181"/>
              <a:gd name="connsiteX9" fmla="*/ 707753 w 1425167"/>
              <a:gd name="connsiteY9" fmla="*/ 105397 h 264181"/>
              <a:gd name="connsiteX10" fmla="*/ 800976 w 1425167"/>
              <a:gd name="connsiteY10" fmla="*/ 16227 h 264181"/>
              <a:gd name="connsiteX11" fmla="*/ 898253 w 1425167"/>
              <a:gd name="connsiteY11" fmla="*/ 109450 h 264181"/>
              <a:gd name="connsiteX12" fmla="*/ 963104 w 1425167"/>
              <a:gd name="connsiteY12" fmla="*/ 20280 h 264181"/>
              <a:gd name="connsiteX13" fmla="*/ 1076593 w 1425167"/>
              <a:gd name="connsiteY13" fmla="*/ 101344 h 264181"/>
              <a:gd name="connsiteX14" fmla="*/ 1161710 w 1425167"/>
              <a:gd name="connsiteY14" fmla="*/ 20280 h 264181"/>
              <a:gd name="connsiteX15" fmla="*/ 1238721 w 1425167"/>
              <a:gd name="connsiteY15" fmla="*/ 109450 h 264181"/>
              <a:gd name="connsiteX16" fmla="*/ 1323838 w 1425167"/>
              <a:gd name="connsiteY16" fmla="*/ 16227 h 264181"/>
              <a:gd name="connsiteX17" fmla="*/ 1425167 w 1425167"/>
              <a:gd name="connsiteY17" fmla="*/ 126946 h 264181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408954 w 1408954"/>
              <a:gd name="connsiteY17" fmla="*/ 267869 h 267869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372477 w 1408954"/>
              <a:gd name="connsiteY17" fmla="*/ 184056 h 267869"/>
              <a:gd name="connsiteX18" fmla="*/ 1408954 w 1408954"/>
              <a:gd name="connsiteY18" fmla="*/ 267869 h 267869"/>
              <a:gd name="connsiteX0" fmla="*/ 6551 w 1424741"/>
              <a:gd name="connsiteY0" fmla="*/ 264181 h 267869"/>
              <a:gd name="connsiteX1" fmla="*/ 2498 w 1424741"/>
              <a:gd name="connsiteY1" fmla="*/ 109451 h 267869"/>
              <a:gd name="connsiteX2" fmla="*/ 59242 w 1424741"/>
              <a:gd name="connsiteY2" fmla="*/ 14 h 267869"/>
              <a:gd name="connsiteX3" fmla="*/ 144359 w 1424741"/>
              <a:gd name="connsiteY3" fmla="*/ 101344 h 267869"/>
              <a:gd name="connsiteX4" fmla="*/ 249742 w 1424741"/>
              <a:gd name="connsiteY4" fmla="*/ 12173 h 267869"/>
              <a:gd name="connsiteX5" fmla="*/ 351072 w 1424741"/>
              <a:gd name="connsiteY5" fmla="*/ 105397 h 267869"/>
              <a:gd name="connsiteX6" fmla="*/ 440242 w 1424741"/>
              <a:gd name="connsiteY6" fmla="*/ 16227 h 267869"/>
              <a:gd name="connsiteX7" fmla="*/ 541572 w 1424741"/>
              <a:gd name="connsiteY7" fmla="*/ 101344 h 267869"/>
              <a:gd name="connsiteX8" fmla="*/ 642902 w 1424741"/>
              <a:gd name="connsiteY8" fmla="*/ 12173 h 267869"/>
              <a:gd name="connsiteX9" fmla="*/ 707753 w 1424741"/>
              <a:gd name="connsiteY9" fmla="*/ 105397 h 267869"/>
              <a:gd name="connsiteX10" fmla="*/ 800976 w 1424741"/>
              <a:gd name="connsiteY10" fmla="*/ 16227 h 267869"/>
              <a:gd name="connsiteX11" fmla="*/ 898253 w 1424741"/>
              <a:gd name="connsiteY11" fmla="*/ 109450 h 267869"/>
              <a:gd name="connsiteX12" fmla="*/ 963104 w 1424741"/>
              <a:gd name="connsiteY12" fmla="*/ 20280 h 267869"/>
              <a:gd name="connsiteX13" fmla="*/ 1076593 w 1424741"/>
              <a:gd name="connsiteY13" fmla="*/ 101344 h 267869"/>
              <a:gd name="connsiteX14" fmla="*/ 1161710 w 1424741"/>
              <a:gd name="connsiteY14" fmla="*/ 20280 h 267869"/>
              <a:gd name="connsiteX15" fmla="*/ 1238721 w 1424741"/>
              <a:gd name="connsiteY15" fmla="*/ 109450 h 267869"/>
              <a:gd name="connsiteX16" fmla="*/ 1323838 w 1424741"/>
              <a:gd name="connsiteY16" fmla="*/ 16227 h 267869"/>
              <a:gd name="connsiteX17" fmla="*/ 1421115 w 1424741"/>
              <a:gd name="connsiteY17" fmla="*/ 142608 h 267869"/>
              <a:gd name="connsiteX18" fmla="*/ 1408954 w 1424741"/>
              <a:gd name="connsiteY18" fmla="*/ 267869 h 267869"/>
              <a:gd name="connsiteX0" fmla="*/ 6551 w 1426266"/>
              <a:gd name="connsiteY0" fmla="*/ 264181 h 267869"/>
              <a:gd name="connsiteX1" fmla="*/ 2498 w 1426266"/>
              <a:gd name="connsiteY1" fmla="*/ 109451 h 267869"/>
              <a:gd name="connsiteX2" fmla="*/ 59242 w 1426266"/>
              <a:gd name="connsiteY2" fmla="*/ 14 h 267869"/>
              <a:gd name="connsiteX3" fmla="*/ 144359 w 1426266"/>
              <a:gd name="connsiteY3" fmla="*/ 101344 h 267869"/>
              <a:gd name="connsiteX4" fmla="*/ 249742 w 1426266"/>
              <a:gd name="connsiteY4" fmla="*/ 12173 h 267869"/>
              <a:gd name="connsiteX5" fmla="*/ 351072 w 1426266"/>
              <a:gd name="connsiteY5" fmla="*/ 105397 h 267869"/>
              <a:gd name="connsiteX6" fmla="*/ 440242 w 1426266"/>
              <a:gd name="connsiteY6" fmla="*/ 16227 h 267869"/>
              <a:gd name="connsiteX7" fmla="*/ 541572 w 1426266"/>
              <a:gd name="connsiteY7" fmla="*/ 101344 h 267869"/>
              <a:gd name="connsiteX8" fmla="*/ 642902 w 1426266"/>
              <a:gd name="connsiteY8" fmla="*/ 12173 h 267869"/>
              <a:gd name="connsiteX9" fmla="*/ 707753 w 1426266"/>
              <a:gd name="connsiteY9" fmla="*/ 105397 h 267869"/>
              <a:gd name="connsiteX10" fmla="*/ 800976 w 1426266"/>
              <a:gd name="connsiteY10" fmla="*/ 16227 h 267869"/>
              <a:gd name="connsiteX11" fmla="*/ 898253 w 1426266"/>
              <a:gd name="connsiteY11" fmla="*/ 109450 h 267869"/>
              <a:gd name="connsiteX12" fmla="*/ 963104 w 1426266"/>
              <a:gd name="connsiteY12" fmla="*/ 20280 h 267869"/>
              <a:gd name="connsiteX13" fmla="*/ 1076593 w 1426266"/>
              <a:gd name="connsiteY13" fmla="*/ 101344 h 267869"/>
              <a:gd name="connsiteX14" fmla="*/ 1161710 w 1426266"/>
              <a:gd name="connsiteY14" fmla="*/ 20280 h 267869"/>
              <a:gd name="connsiteX15" fmla="*/ 1238721 w 1426266"/>
              <a:gd name="connsiteY15" fmla="*/ 109450 h 267869"/>
              <a:gd name="connsiteX16" fmla="*/ 1323838 w 1426266"/>
              <a:gd name="connsiteY16" fmla="*/ 16227 h 267869"/>
              <a:gd name="connsiteX17" fmla="*/ 1421115 w 1426266"/>
              <a:gd name="connsiteY17" fmla="*/ 142608 h 267869"/>
              <a:gd name="connsiteX18" fmla="*/ 1421110 w 1426266"/>
              <a:gd name="connsiteY18" fmla="*/ 267869 h 267869"/>
              <a:gd name="connsiteX0" fmla="*/ 6551 w 1421110"/>
              <a:gd name="connsiteY0" fmla="*/ 264181 h 267869"/>
              <a:gd name="connsiteX1" fmla="*/ 2498 w 1421110"/>
              <a:gd name="connsiteY1" fmla="*/ 109451 h 267869"/>
              <a:gd name="connsiteX2" fmla="*/ 59242 w 1421110"/>
              <a:gd name="connsiteY2" fmla="*/ 14 h 267869"/>
              <a:gd name="connsiteX3" fmla="*/ 144359 w 1421110"/>
              <a:gd name="connsiteY3" fmla="*/ 101344 h 267869"/>
              <a:gd name="connsiteX4" fmla="*/ 249742 w 1421110"/>
              <a:gd name="connsiteY4" fmla="*/ 12173 h 267869"/>
              <a:gd name="connsiteX5" fmla="*/ 351072 w 1421110"/>
              <a:gd name="connsiteY5" fmla="*/ 105397 h 267869"/>
              <a:gd name="connsiteX6" fmla="*/ 440242 w 1421110"/>
              <a:gd name="connsiteY6" fmla="*/ 16227 h 267869"/>
              <a:gd name="connsiteX7" fmla="*/ 541572 w 1421110"/>
              <a:gd name="connsiteY7" fmla="*/ 101344 h 267869"/>
              <a:gd name="connsiteX8" fmla="*/ 642902 w 1421110"/>
              <a:gd name="connsiteY8" fmla="*/ 12173 h 267869"/>
              <a:gd name="connsiteX9" fmla="*/ 707753 w 1421110"/>
              <a:gd name="connsiteY9" fmla="*/ 105397 h 267869"/>
              <a:gd name="connsiteX10" fmla="*/ 800976 w 1421110"/>
              <a:gd name="connsiteY10" fmla="*/ 16227 h 267869"/>
              <a:gd name="connsiteX11" fmla="*/ 898253 w 1421110"/>
              <a:gd name="connsiteY11" fmla="*/ 109450 h 267869"/>
              <a:gd name="connsiteX12" fmla="*/ 963104 w 1421110"/>
              <a:gd name="connsiteY12" fmla="*/ 20280 h 267869"/>
              <a:gd name="connsiteX13" fmla="*/ 1076593 w 1421110"/>
              <a:gd name="connsiteY13" fmla="*/ 101344 h 267869"/>
              <a:gd name="connsiteX14" fmla="*/ 1161710 w 1421110"/>
              <a:gd name="connsiteY14" fmla="*/ 20280 h 267869"/>
              <a:gd name="connsiteX15" fmla="*/ 1238721 w 1421110"/>
              <a:gd name="connsiteY15" fmla="*/ 109450 h 267869"/>
              <a:gd name="connsiteX16" fmla="*/ 1323838 w 1421110"/>
              <a:gd name="connsiteY16" fmla="*/ 16227 h 267869"/>
              <a:gd name="connsiteX17" fmla="*/ 1413010 w 1421110"/>
              <a:gd name="connsiteY17" fmla="*/ 150897 h 267869"/>
              <a:gd name="connsiteX18" fmla="*/ 1421110 w 1421110"/>
              <a:gd name="connsiteY18" fmla="*/ 267869 h 2678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1421110" h="267869">
                <a:moveTo>
                  <a:pt x="6551" y="264181"/>
                </a:moveTo>
                <a:cubicBezTo>
                  <a:pt x="11280" y="243919"/>
                  <a:pt x="-6284" y="153479"/>
                  <a:pt x="2498" y="109451"/>
                </a:cubicBezTo>
                <a:cubicBezTo>
                  <a:pt x="11280" y="65423"/>
                  <a:pt x="35599" y="1365"/>
                  <a:pt x="59242" y="14"/>
                </a:cubicBezTo>
                <a:cubicBezTo>
                  <a:pt x="82885" y="-1337"/>
                  <a:pt x="112609" y="99318"/>
                  <a:pt x="144359" y="101344"/>
                </a:cubicBezTo>
                <a:cubicBezTo>
                  <a:pt x="176109" y="103370"/>
                  <a:pt x="215290" y="11498"/>
                  <a:pt x="249742" y="12173"/>
                </a:cubicBezTo>
                <a:cubicBezTo>
                  <a:pt x="284194" y="12848"/>
                  <a:pt x="319322" y="104721"/>
                  <a:pt x="351072" y="105397"/>
                </a:cubicBezTo>
                <a:cubicBezTo>
                  <a:pt x="382822" y="106073"/>
                  <a:pt x="408492" y="16902"/>
                  <a:pt x="440242" y="16227"/>
                </a:cubicBezTo>
                <a:cubicBezTo>
                  <a:pt x="471992" y="15552"/>
                  <a:pt x="507795" y="102020"/>
                  <a:pt x="541572" y="101344"/>
                </a:cubicBezTo>
                <a:cubicBezTo>
                  <a:pt x="575349" y="100668"/>
                  <a:pt x="615205" y="11498"/>
                  <a:pt x="642902" y="12173"/>
                </a:cubicBezTo>
                <a:cubicBezTo>
                  <a:pt x="670599" y="12848"/>
                  <a:pt x="681407" y="104721"/>
                  <a:pt x="707753" y="105397"/>
                </a:cubicBezTo>
                <a:cubicBezTo>
                  <a:pt x="734099" y="106073"/>
                  <a:pt x="769226" y="15552"/>
                  <a:pt x="800976" y="16227"/>
                </a:cubicBezTo>
                <a:cubicBezTo>
                  <a:pt x="832726" y="16902"/>
                  <a:pt x="871232" y="108775"/>
                  <a:pt x="898253" y="109450"/>
                </a:cubicBezTo>
                <a:cubicBezTo>
                  <a:pt x="925274" y="110126"/>
                  <a:pt x="933381" y="21631"/>
                  <a:pt x="963104" y="20280"/>
                </a:cubicBezTo>
                <a:cubicBezTo>
                  <a:pt x="992827" y="18929"/>
                  <a:pt x="1043492" y="101344"/>
                  <a:pt x="1076593" y="101344"/>
                </a:cubicBezTo>
                <a:cubicBezTo>
                  <a:pt x="1109694" y="101344"/>
                  <a:pt x="1134689" y="18929"/>
                  <a:pt x="1161710" y="20280"/>
                </a:cubicBezTo>
                <a:cubicBezTo>
                  <a:pt x="1188731" y="21631"/>
                  <a:pt x="1211700" y="110126"/>
                  <a:pt x="1238721" y="109450"/>
                </a:cubicBezTo>
                <a:cubicBezTo>
                  <a:pt x="1265742" y="108775"/>
                  <a:pt x="1294790" y="9319"/>
                  <a:pt x="1323838" y="16227"/>
                </a:cubicBezTo>
                <a:cubicBezTo>
                  <a:pt x="1352886" y="23135"/>
                  <a:pt x="1398824" y="108957"/>
                  <a:pt x="1413010" y="150897"/>
                </a:cubicBezTo>
                <a:cubicBezTo>
                  <a:pt x="1427196" y="192837"/>
                  <a:pt x="1415031" y="253900"/>
                  <a:pt x="1421110" y="267869"/>
                </a:cubicBezTo>
              </a:path>
            </a:pathLst>
          </a:custGeom>
          <a:solidFill>
            <a:schemeClr val="bg1">
              <a:lumMod val="75000"/>
            </a:schemeClr>
          </a:solid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0" name="Freeform 599">
            <a:extLst>
              <a:ext uri="{FF2B5EF4-FFF2-40B4-BE49-F238E27FC236}">
                <a16:creationId xmlns:a16="http://schemas.microsoft.com/office/drawing/2014/main" id="{00000000-0008-0000-0300-000058020000}"/>
              </a:ext>
            </a:extLst>
          </xdr:cNvPr>
          <xdr:cNvSpPr/>
        </xdr:nvSpPr>
        <xdr:spPr>
          <a:xfrm>
            <a:off x="6281960" y="15979241"/>
            <a:ext cx="923217" cy="42488"/>
          </a:xfrm>
          <a:custGeom>
            <a:avLst/>
            <a:gdLst>
              <a:gd name="connsiteX0" fmla="*/ 0 w 1410510"/>
              <a:gd name="connsiteY0" fmla="*/ 50247 h 111048"/>
              <a:gd name="connsiteX1" fmla="*/ 52691 w 1410510"/>
              <a:gd name="connsiteY1" fmla="*/ 1609 h 111048"/>
              <a:gd name="connsiteX2" fmla="*/ 137808 w 1410510"/>
              <a:gd name="connsiteY2" fmla="*/ 102939 h 111048"/>
              <a:gd name="connsiteX3" fmla="*/ 243191 w 1410510"/>
              <a:gd name="connsiteY3" fmla="*/ 13768 h 111048"/>
              <a:gd name="connsiteX4" fmla="*/ 344521 w 1410510"/>
              <a:gd name="connsiteY4" fmla="*/ 106992 h 111048"/>
              <a:gd name="connsiteX5" fmla="*/ 433691 w 1410510"/>
              <a:gd name="connsiteY5" fmla="*/ 17822 h 111048"/>
              <a:gd name="connsiteX6" fmla="*/ 535021 w 1410510"/>
              <a:gd name="connsiteY6" fmla="*/ 102939 h 111048"/>
              <a:gd name="connsiteX7" fmla="*/ 636351 w 1410510"/>
              <a:gd name="connsiteY7" fmla="*/ 13768 h 111048"/>
              <a:gd name="connsiteX8" fmla="*/ 701202 w 1410510"/>
              <a:gd name="connsiteY8" fmla="*/ 106992 h 111048"/>
              <a:gd name="connsiteX9" fmla="*/ 794425 w 1410510"/>
              <a:gd name="connsiteY9" fmla="*/ 17822 h 111048"/>
              <a:gd name="connsiteX10" fmla="*/ 891702 w 1410510"/>
              <a:gd name="connsiteY10" fmla="*/ 111045 h 111048"/>
              <a:gd name="connsiteX11" fmla="*/ 956553 w 1410510"/>
              <a:gd name="connsiteY11" fmla="*/ 21875 h 111048"/>
              <a:gd name="connsiteX12" fmla="*/ 1070042 w 1410510"/>
              <a:gd name="connsiteY12" fmla="*/ 102939 h 111048"/>
              <a:gd name="connsiteX13" fmla="*/ 1155159 w 1410510"/>
              <a:gd name="connsiteY13" fmla="*/ 21875 h 111048"/>
              <a:gd name="connsiteX14" fmla="*/ 1232170 w 1410510"/>
              <a:gd name="connsiteY14" fmla="*/ 111045 h 111048"/>
              <a:gd name="connsiteX15" fmla="*/ 1317287 w 1410510"/>
              <a:gd name="connsiteY15" fmla="*/ 17822 h 111048"/>
              <a:gd name="connsiteX16" fmla="*/ 1410510 w 1410510"/>
              <a:gd name="connsiteY16" fmla="*/ 70513 h 111048"/>
              <a:gd name="connsiteX0" fmla="*/ 0 w 1418616"/>
              <a:gd name="connsiteY0" fmla="*/ 50247 h 128541"/>
              <a:gd name="connsiteX1" fmla="*/ 52691 w 1418616"/>
              <a:gd name="connsiteY1" fmla="*/ 1609 h 128541"/>
              <a:gd name="connsiteX2" fmla="*/ 137808 w 1418616"/>
              <a:gd name="connsiteY2" fmla="*/ 102939 h 128541"/>
              <a:gd name="connsiteX3" fmla="*/ 243191 w 1418616"/>
              <a:gd name="connsiteY3" fmla="*/ 13768 h 128541"/>
              <a:gd name="connsiteX4" fmla="*/ 344521 w 1418616"/>
              <a:gd name="connsiteY4" fmla="*/ 106992 h 128541"/>
              <a:gd name="connsiteX5" fmla="*/ 433691 w 1418616"/>
              <a:gd name="connsiteY5" fmla="*/ 17822 h 128541"/>
              <a:gd name="connsiteX6" fmla="*/ 535021 w 1418616"/>
              <a:gd name="connsiteY6" fmla="*/ 102939 h 128541"/>
              <a:gd name="connsiteX7" fmla="*/ 636351 w 1418616"/>
              <a:gd name="connsiteY7" fmla="*/ 13768 h 128541"/>
              <a:gd name="connsiteX8" fmla="*/ 701202 w 1418616"/>
              <a:gd name="connsiteY8" fmla="*/ 106992 h 128541"/>
              <a:gd name="connsiteX9" fmla="*/ 794425 w 1418616"/>
              <a:gd name="connsiteY9" fmla="*/ 17822 h 128541"/>
              <a:gd name="connsiteX10" fmla="*/ 891702 w 1418616"/>
              <a:gd name="connsiteY10" fmla="*/ 111045 h 128541"/>
              <a:gd name="connsiteX11" fmla="*/ 956553 w 1418616"/>
              <a:gd name="connsiteY11" fmla="*/ 21875 h 128541"/>
              <a:gd name="connsiteX12" fmla="*/ 1070042 w 1418616"/>
              <a:gd name="connsiteY12" fmla="*/ 102939 h 128541"/>
              <a:gd name="connsiteX13" fmla="*/ 1155159 w 1418616"/>
              <a:gd name="connsiteY13" fmla="*/ 21875 h 128541"/>
              <a:gd name="connsiteX14" fmla="*/ 1232170 w 1418616"/>
              <a:gd name="connsiteY14" fmla="*/ 111045 h 128541"/>
              <a:gd name="connsiteX15" fmla="*/ 1317287 w 1418616"/>
              <a:gd name="connsiteY15" fmla="*/ 17822 h 128541"/>
              <a:gd name="connsiteX16" fmla="*/ 1418616 w 1418616"/>
              <a:gd name="connsiteY16" fmla="*/ 128541 h 128541"/>
              <a:gd name="connsiteX0" fmla="*/ 0 w 1418616"/>
              <a:gd name="connsiteY0" fmla="*/ 267983 h 267983"/>
              <a:gd name="connsiteX1" fmla="*/ 52691 w 1418616"/>
              <a:gd name="connsiteY1" fmla="*/ 3816 h 267983"/>
              <a:gd name="connsiteX2" fmla="*/ 137808 w 1418616"/>
              <a:gd name="connsiteY2" fmla="*/ 105146 h 267983"/>
              <a:gd name="connsiteX3" fmla="*/ 243191 w 1418616"/>
              <a:gd name="connsiteY3" fmla="*/ 15975 h 267983"/>
              <a:gd name="connsiteX4" fmla="*/ 344521 w 1418616"/>
              <a:gd name="connsiteY4" fmla="*/ 109199 h 267983"/>
              <a:gd name="connsiteX5" fmla="*/ 433691 w 1418616"/>
              <a:gd name="connsiteY5" fmla="*/ 20029 h 267983"/>
              <a:gd name="connsiteX6" fmla="*/ 535021 w 1418616"/>
              <a:gd name="connsiteY6" fmla="*/ 105146 h 267983"/>
              <a:gd name="connsiteX7" fmla="*/ 636351 w 1418616"/>
              <a:gd name="connsiteY7" fmla="*/ 15975 h 267983"/>
              <a:gd name="connsiteX8" fmla="*/ 701202 w 1418616"/>
              <a:gd name="connsiteY8" fmla="*/ 109199 h 267983"/>
              <a:gd name="connsiteX9" fmla="*/ 794425 w 1418616"/>
              <a:gd name="connsiteY9" fmla="*/ 20029 h 267983"/>
              <a:gd name="connsiteX10" fmla="*/ 891702 w 1418616"/>
              <a:gd name="connsiteY10" fmla="*/ 113252 h 267983"/>
              <a:gd name="connsiteX11" fmla="*/ 956553 w 1418616"/>
              <a:gd name="connsiteY11" fmla="*/ 24082 h 267983"/>
              <a:gd name="connsiteX12" fmla="*/ 1070042 w 1418616"/>
              <a:gd name="connsiteY12" fmla="*/ 105146 h 267983"/>
              <a:gd name="connsiteX13" fmla="*/ 1155159 w 1418616"/>
              <a:gd name="connsiteY13" fmla="*/ 24082 h 267983"/>
              <a:gd name="connsiteX14" fmla="*/ 1232170 w 1418616"/>
              <a:gd name="connsiteY14" fmla="*/ 113252 h 267983"/>
              <a:gd name="connsiteX15" fmla="*/ 1317287 w 1418616"/>
              <a:gd name="connsiteY15" fmla="*/ 20029 h 267983"/>
              <a:gd name="connsiteX16" fmla="*/ 1418616 w 1418616"/>
              <a:gd name="connsiteY16" fmla="*/ 130748 h 267983"/>
              <a:gd name="connsiteX0" fmla="*/ 0 w 1418616"/>
              <a:gd name="connsiteY0" fmla="*/ 264488 h 264488"/>
              <a:gd name="connsiteX1" fmla="*/ 28372 w 1418616"/>
              <a:gd name="connsiteY1" fmla="*/ 142917 h 264488"/>
              <a:gd name="connsiteX2" fmla="*/ 52691 w 1418616"/>
              <a:gd name="connsiteY2" fmla="*/ 321 h 264488"/>
              <a:gd name="connsiteX3" fmla="*/ 137808 w 1418616"/>
              <a:gd name="connsiteY3" fmla="*/ 101651 h 264488"/>
              <a:gd name="connsiteX4" fmla="*/ 243191 w 1418616"/>
              <a:gd name="connsiteY4" fmla="*/ 12480 h 264488"/>
              <a:gd name="connsiteX5" fmla="*/ 344521 w 1418616"/>
              <a:gd name="connsiteY5" fmla="*/ 105704 h 264488"/>
              <a:gd name="connsiteX6" fmla="*/ 433691 w 1418616"/>
              <a:gd name="connsiteY6" fmla="*/ 16534 h 264488"/>
              <a:gd name="connsiteX7" fmla="*/ 535021 w 1418616"/>
              <a:gd name="connsiteY7" fmla="*/ 101651 h 264488"/>
              <a:gd name="connsiteX8" fmla="*/ 636351 w 1418616"/>
              <a:gd name="connsiteY8" fmla="*/ 12480 h 264488"/>
              <a:gd name="connsiteX9" fmla="*/ 701202 w 1418616"/>
              <a:gd name="connsiteY9" fmla="*/ 105704 h 264488"/>
              <a:gd name="connsiteX10" fmla="*/ 794425 w 1418616"/>
              <a:gd name="connsiteY10" fmla="*/ 16534 h 264488"/>
              <a:gd name="connsiteX11" fmla="*/ 891702 w 1418616"/>
              <a:gd name="connsiteY11" fmla="*/ 109757 h 264488"/>
              <a:gd name="connsiteX12" fmla="*/ 956553 w 1418616"/>
              <a:gd name="connsiteY12" fmla="*/ 20587 h 264488"/>
              <a:gd name="connsiteX13" fmla="*/ 1070042 w 1418616"/>
              <a:gd name="connsiteY13" fmla="*/ 101651 h 264488"/>
              <a:gd name="connsiteX14" fmla="*/ 1155159 w 1418616"/>
              <a:gd name="connsiteY14" fmla="*/ 20587 h 264488"/>
              <a:gd name="connsiteX15" fmla="*/ 1232170 w 1418616"/>
              <a:gd name="connsiteY15" fmla="*/ 109757 h 264488"/>
              <a:gd name="connsiteX16" fmla="*/ 1317287 w 1418616"/>
              <a:gd name="connsiteY16" fmla="*/ 16534 h 264488"/>
              <a:gd name="connsiteX17" fmla="*/ 1418616 w 1418616"/>
              <a:gd name="connsiteY17" fmla="*/ 127253 h 264488"/>
              <a:gd name="connsiteX0" fmla="*/ 6551 w 1425167"/>
              <a:gd name="connsiteY0" fmla="*/ 264181 h 264181"/>
              <a:gd name="connsiteX1" fmla="*/ 2498 w 1425167"/>
              <a:gd name="connsiteY1" fmla="*/ 109451 h 264181"/>
              <a:gd name="connsiteX2" fmla="*/ 59242 w 1425167"/>
              <a:gd name="connsiteY2" fmla="*/ 14 h 264181"/>
              <a:gd name="connsiteX3" fmla="*/ 144359 w 1425167"/>
              <a:gd name="connsiteY3" fmla="*/ 101344 h 264181"/>
              <a:gd name="connsiteX4" fmla="*/ 249742 w 1425167"/>
              <a:gd name="connsiteY4" fmla="*/ 12173 h 264181"/>
              <a:gd name="connsiteX5" fmla="*/ 351072 w 1425167"/>
              <a:gd name="connsiteY5" fmla="*/ 105397 h 264181"/>
              <a:gd name="connsiteX6" fmla="*/ 440242 w 1425167"/>
              <a:gd name="connsiteY6" fmla="*/ 16227 h 264181"/>
              <a:gd name="connsiteX7" fmla="*/ 541572 w 1425167"/>
              <a:gd name="connsiteY7" fmla="*/ 101344 h 264181"/>
              <a:gd name="connsiteX8" fmla="*/ 642902 w 1425167"/>
              <a:gd name="connsiteY8" fmla="*/ 12173 h 264181"/>
              <a:gd name="connsiteX9" fmla="*/ 707753 w 1425167"/>
              <a:gd name="connsiteY9" fmla="*/ 105397 h 264181"/>
              <a:gd name="connsiteX10" fmla="*/ 800976 w 1425167"/>
              <a:gd name="connsiteY10" fmla="*/ 16227 h 264181"/>
              <a:gd name="connsiteX11" fmla="*/ 898253 w 1425167"/>
              <a:gd name="connsiteY11" fmla="*/ 109450 h 264181"/>
              <a:gd name="connsiteX12" fmla="*/ 963104 w 1425167"/>
              <a:gd name="connsiteY12" fmla="*/ 20280 h 264181"/>
              <a:gd name="connsiteX13" fmla="*/ 1076593 w 1425167"/>
              <a:gd name="connsiteY13" fmla="*/ 101344 h 264181"/>
              <a:gd name="connsiteX14" fmla="*/ 1161710 w 1425167"/>
              <a:gd name="connsiteY14" fmla="*/ 20280 h 264181"/>
              <a:gd name="connsiteX15" fmla="*/ 1238721 w 1425167"/>
              <a:gd name="connsiteY15" fmla="*/ 109450 h 264181"/>
              <a:gd name="connsiteX16" fmla="*/ 1323838 w 1425167"/>
              <a:gd name="connsiteY16" fmla="*/ 16227 h 264181"/>
              <a:gd name="connsiteX17" fmla="*/ 1425167 w 1425167"/>
              <a:gd name="connsiteY17" fmla="*/ 126946 h 264181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408954 w 1408954"/>
              <a:gd name="connsiteY17" fmla="*/ 267869 h 267869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372477 w 1408954"/>
              <a:gd name="connsiteY17" fmla="*/ 184056 h 267869"/>
              <a:gd name="connsiteX18" fmla="*/ 1408954 w 1408954"/>
              <a:gd name="connsiteY18" fmla="*/ 267869 h 267869"/>
              <a:gd name="connsiteX0" fmla="*/ 6551 w 1424741"/>
              <a:gd name="connsiteY0" fmla="*/ 264181 h 267869"/>
              <a:gd name="connsiteX1" fmla="*/ 2498 w 1424741"/>
              <a:gd name="connsiteY1" fmla="*/ 109451 h 267869"/>
              <a:gd name="connsiteX2" fmla="*/ 59242 w 1424741"/>
              <a:gd name="connsiteY2" fmla="*/ 14 h 267869"/>
              <a:gd name="connsiteX3" fmla="*/ 144359 w 1424741"/>
              <a:gd name="connsiteY3" fmla="*/ 101344 h 267869"/>
              <a:gd name="connsiteX4" fmla="*/ 249742 w 1424741"/>
              <a:gd name="connsiteY4" fmla="*/ 12173 h 267869"/>
              <a:gd name="connsiteX5" fmla="*/ 351072 w 1424741"/>
              <a:gd name="connsiteY5" fmla="*/ 105397 h 267869"/>
              <a:gd name="connsiteX6" fmla="*/ 440242 w 1424741"/>
              <a:gd name="connsiteY6" fmla="*/ 16227 h 267869"/>
              <a:gd name="connsiteX7" fmla="*/ 541572 w 1424741"/>
              <a:gd name="connsiteY7" fmla="*/ 101344 h 267869"/>
              <a:gd name="connsiteX8" fmla="*/ 642902 w 1424741"/>
              <a:gd name="connsiteY8" fmla="*/ 12173 h 267869"/>
              <a:gd name="connsiteX9" fmla="*/ 707753 w 1424741"/>
              <a:gd name="connsiteY9" fmla="*/ 105397 h 267869"/>
              <a:gd name="connsiteX10" fmla="*/ 800976 w 1424741"/>
              <a:gd name="connsiteY10" fmla="*/ 16227 h 267869"/>
              <a:gd name="connsiteX11" fmla="*/ 898253 w 1424741"/>
              <a:gd name="connsiteY11" fmla="*/ 109450 h 267869"/>
              <a:gd name="connsiteX12" fmla="*/ 963104 w 1424741"/>
              <a:gd name="connsiteY12" fmla="*/ 20280 h 267869"/>
              <a:gd name="connsiteX13" fmla="*/ 1076593 w 1424741"/>
              <a:gd name="connsiteY13" fmla="*/ 101344 h 267869"/>
              <a:gd name="connsiteX14" fmla="*/ 1161710 w 1424741"/>
              <a:gd name="connsiteY14" fmla="*/ 20280 h 267869"/>
              <a:gd name="connsiteX15" fmla="*/ 1238721 w 1424741"/>
              <a:gd name="connsiteY15" fmla="*/ 109450 h 267869"/>
              <a:gd name="connsiteX16" fmla="*/ 1323838 w 1424741"/>
              <a:gd name="connsiteY16" fmla="*/ 16227 h 267869"/>
              <a:gd name="connsiteX17" fmla="*/ 1421115 w 1424741"/>
              <a:gd name="connsiteY17" fmla="*/ 142608 h 267869"/>
              <a:gd name="connsiteX18" fmla="*/ 1408954 w 1424741"/>
              <a:gd name="connsiteY18" fmla="*/ 267869 h 267869"/>
              <a:gd name="connsiteX0" fmla="*/ 6551 w 1426266"/>
              <a:gd name="connsiteY0" fmla="*/ 264181 h 267869"/>
              <a:gd name="connsiteX1" fmla="*/ 2498 w 1426266"/>
              <a:gd name="connsiteY1" fmla="*/ 109451 h 267869"/>
              <a:gd name="connsiteX2" fmla="*/ 59242 w 1426266"/>
              <a:gd name="connsiteY2" fmla="*/ 14 h 267869"/>
              <a:gd name="connsiteX3" fmla="*/ 144359 w 1426266"/>
              <a:gd name="connsiteY3" fmla="*/ 101344 h 267869"/>
              <a:gd name="connsiteX4" fmla="*/ 249742 w 1426266"/>
              <a:gd name="connsiteY4" fmla="*/ 12173 h 267869"/>
              <a:gd name="connsiteX5" fmla="*/ 351072 w 1426266"/>
              <a:gd name="connsiteY5" fmla="*/ 105397 h 267869"/>
              <a:gd name="connsiteX6" fmla="*/ 440242 w 1426266"/>
              <a:gd name="connsiteY6" fmla="*/ 16227 h 267869"/>
              <a:gd name="connsiteX7" fmla="*/ 541572 w 1426266"/>
              <a:gd name="connsiteY7" fmla="*/ 101344 h 267869"/>
              <a:gd name="connsiteX8" fmla="*/ 642902 w 1426266"/>
              <a:gd name="connsiteY8" fmla="*/ 12173 h 267869"/>
              <a:gd name="connsiteX9" fmla="*/ 707753 w 1426266"/>
              <a:gd name="connsiteY9" fmla="*/ 105397 h 267869"/>
              <a:gd name="connsiteX10" fmla="*/ 800976 w 1426266"/>
              <a:gd name="connsiteY10" fmla="*/ 16227 h 267869"/>
              <a:gd name="connsiteX11" fmla="*/ 898253 w 1426266"/>
              <a:gd name="connsiteY11" fmla="*/ 109450 h 267869"/>
              <a:gd name="connsiteX12" fmla="*/ 963104 w 1426266"/>
              <a:gd name="connsiteY12" fmla="*/ 20280 h 267869"/>
              <a:gd name="connsiteX13" fmla="*/ 1076593 w 1426266"/>
              <a:gd name="connsiteY13" fmla="*/ 101344 h 267869"/>
              <a:gd name="connsiteX14" fmla="*/ 1161710 w 1426266"/>
              <a:gd name="connsiteY14" fmla="*/ 20280 h 267869"/>
              <a:gd name="connsiteX15" fmla="*/ 1238721 w 1426266"/>
              <a:gd name="connsiteY15" fmla="*/ 109450 h 267869"/>
              <a:gd name="connsiteX16" fmla="*/ 1323838 w 1426266"/>
              <a:gd name="connsiteY16" fmla="*/ 16227 h 267869"/>
              <a:gd name="connsiteX17" fmla="*/ 1421115 w 1426266"/>
              <a:gd name="connsiteY17" fmla="*/ 142608 h 267869"/>
              <a:gd name="connsiteX18" fmla="*/ 1421110 w 1426266"/>
              <a:gd name="connsiteY18" fmla="*/ 267869 h 267869"/>
              <a:gd name="connsiteX0" fmla="*/ 6551 w 1421110"/>
              <a:gd name="connsiteY0" fmla="*/ 264181 h 267869"/>
              <a:gd name="connsiteX1" fmla="*/ 2498 w 1421110"/>
              <a:gd name="connsiteY1" fmla="*/ 109451 h 267869"/>
              <a:gd name="connsiteX2" fmla="*/ 59242 w 1421110"/>
              <a:gd name="connsiteY2" fmla="*/ 14 h 267869"/>
              <a:gd name="connsiteX3" fmla="*/ 144359 w 1421110"/>
              <a:gd name="connsiteY3" fmla="*/ 101344 h 267869"/>
              <a:gd name="connsiteX4" fmla="*/ 249742 w 1421110"/>
              <a:gd name="connsiteY4" fmla="*/ 12173 h 267869"/>
              <a:gd name="connsiteX5" fmla="*/ 351072 w 1421110"/>
              <a:gd name="connsiteY5" fmla="*/ 105397 h 267869"/>
              <a:gd name="connsiteX6" fmla="*/ 440242 w 1421110"/>
              <a:gd name="connsiteY6" fmla="*/ 16227 h 267869"/>
              <a:gd name="connsiteX7" fmla="*/ 541572 w 1421110"/>
              <a:gd name="connsiteY7" fmla="*/ 101344 h 267869"/>
              <a:gd name="connsiteX8" fmla="*/ 642902 w 1421110"/>
              <a:gd name="connsiteY8" fmla="*/ 12173 h 267869"/>
              <a:gd name="connsiteX9" fmla="*/ 707753 w 1421110"/>
              <a:gd name="connsiteY9" fmla="*/ 105397 h 267869"/>
              <a:gd name="connsiteX10" fmla="*/ 800976 w 1421110"/>
              <a:gd name="connsiteY10" fmla="*/ 16227 h 267869"/>
              <a:gd name="connsiteX11" fmla="*/ 898253 w 1421110"/>
              <a:gd name="connsiteY11" fmla="*/ 109450 h 267869"/>
              <a:gd name="connsiteX12" fmla="*/ 963104 w 1421110"/>
              <a:gd name="connsiteY12" fmla="*/ 20280 h 267869"/>
              <a:gd name="connsiteX13" fmla="*/ 1076593 w 1421110"/>
              <a:gd name="connsiteY13" fmla="*/ 101344 h 267869"/>
              <a:gd name="connsiteX14" fmla="*/ 1161710 w 1421110"/>
              <a:gd name="connsiteY14" fmla="*/ 20280 h 267869"/>
              <a:gd name="connsiteX15" fmla="*/ 1238721 w 1421110"/>
              <a:gd name="connsiteY15" fmla="*/ 109450 h 267869"/>
              <a:gd name="connsiteX16" fmla="*/ 1323838 w 1421110"/>
              <a:gd name="connsiteY16" fmla="*/ 16227 h 267869"/>
              <a:gd name="connsiteX17" fmla="*/ 1413010 w 1421110"/>
              <a:gd name="connsiteY17" fmla="*/ 150897 h 267869"/>
              <a:gd name="connsiteX18" fmla="*/ 1421110 w 1421110"/>
              <a:gd name="connsiteY18" fmla="*/ 267869 h 2678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1421110" h="267869">
                <a:moveTo>
                  <a:pt x="6551" y="264181"/>
                </a:moveTo>
                <a:cubicBezTo>
                  <a:pt x="11280" y="243919"/>
                  <a:pt x="-6284" y="153479"/>
                  <a:pt x="2498" y="109451"/>
                </a:cubicBezTo>
                <a:cubicBezTo>
                  <a:pt x="11280" y="65423"/>
                  <a:pt x="35599" y="1365"/>
                  <a:pt x="59242" y="14"/>
                </a:cubicBezTo>
                <a:cubicBezTo>
                  <a:pt x="82885" y="-1337"/>
                  <a:pt x="112609" y="99318"/>
                  <a:pt x="144359" y="101344"/>
                </a:cubicBezTo>
                <a:cubicBezTo>
                  <a:pt x="176109" y="103370"/>
                  <a:pt x="215290" y="11498"/>
                  <a:pt x="249742" y="12173"/>
                </a:cubicBezTo>
                <a:cubicBezTo>
                  <a:pt x="284194" y="12848"/>
                  <a:pt x="319322" y="104721"/>
                  <a:pt x="351072" y="105397"/>
                </a:cubicBezTo>
                <a:cubicBezTo>
                  <a:pt x="382822" y="106073"/>
                  <a:pt x="408492" y="16902"/>
                  <a:pt x="440242" y="16227"/>
                </a:cubicBezTo>
                <a:cubicBezTo>
                  <a:pt x="471992" y="15552"/>
                  <a:pt x="507795" y="102020"/>
                  <a:pt x="541572" y="101344"/>
                </a:cubicBezTo>
                <a:cubicBezTo>
                  <a:pt x="575349" y="100668"/>
                  <a:pt x="615205" y="11498"/>
                  <a:pt x="642902" y="12173"/>
                </a:cubicBezTo>
                <a:cubicBezTo>
                  <a:pt x="670599" y="12848"/>
                  <a:pt x="681407" y="104721"/>
                  <a:pt x="707753" y="105397"/>
                </a:cubicBezTo>
                <a:cubicBezTo>
                  <a:pt x="734099" y="106073"/>
                  <a:pt x="769226" y="15552"/>
                  <a:pt x="800976" y="16227"/>
                </a:cubicBezTo>
                <a:cubicBezTo>
                  <a:pt x="832726" y="16902"/>
                  <a:pt x="871232" y="108775"/>
                  <a:pt x="898253" y="109450"/>
                </a:cubicBezTo>
                <a:cubicBezTo>
                  <a:pt x="925274" y="110126"/>
                  <a:pt x="933381" y="21631"/>
                  <a:pt x="963104" y="20280"/>
                </a:cubicBezTo>
                <a:cubicBezTo>
                  <a:pt x="992827" y="18929"/>
                  <a:pt x="1043492" y="101344"/>
                  <a:pt x="1076593" y="101344"/>
                </a:cubicBezTo>
                <a:cubicBezTo>
                  <a:pt x="1109694" y="101344"/>
                  <a:pt x="1134689" y="18929"/>
                  <a:pt x="1161710" y="20280"/>
                </a:cubicBezTo>
                <a:cubicBezTo>
                  <a:pt x="1188731" y="21631"/>
                  <a:pt x="1211700" y="110126"/>
                  <a:pt x="1238721" y="109450"/>
                </a:cubicBezTo>
                <a:cubicBezTo>
                  <a:pt x="1265742" y="108775"/>
                  <a:pt x="1294790" y="9319"/>
                  <a:pt x="1323838" y="16227"/>
                </a:cubicBezTo>
                <a:cubicBezTo>
                  <a:pt x="1352886" y="23135"/>
                  <a:pt x="1398824" y="108957"/>
                  <a:pt x="1413010" y="150897"/>
                </a:cubicBezTo>
                <a:cubicBezTo>
                  <a:pt x="1427196" y="192837"/>
                  <a:pt x="1415031" y="253900"/>
                  <a:pt x="1421110" y="267869"/>
                </a:cubicBezTo>
              </a:path>
            </a:pathLst>
          </a:custGeom>
          <a:solidFill>
            <a:schemeClr val="bg1">
              <a:lumMod val="75000"/>
            </a:schemeClr>
          </a:solid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1" name="Freeform 600">
            <a:extLst>
              <a:ext uri="{FF2B5EF4-FFF2-40B4-BE49-F238E27FC236}">
                <a16:creationId xmlns:a16="http://schemas.microsoft.com/office/drawing/2014/main" id="{00000000-0008-0000-0300-000059020000}"/>
              </a:ext>
            </a:extLst>
          </xdr:cNvPr>
          <xdr:cNvSpPr/>
        </xdr:nvSpPr>
        <xdr:spPr>
          <a:xfrm>
            <a:off x="6283914" y="15928042"/>
            <a:ext cx="920988" cy="95029"/>
          </a:xfrm>
          <a:custGeom>
            <a:avLst/>
            <a:gdLst>
              <a:gd name="connsiteX0" fmla="*/ 0 w 1409700"/>
              <a:gd name="connsiteY0" fmla="*/ 136525 h 146050"/>
              <a:gd name="connsiteX1" fmla="*/ 0 w 1409700"/>
              <a:gd name="connsiteY1" fmla="*/ 0 h 146050"/>
              <a:gd name="connsiteX2" fmla="*/ 1409700 w 1409700"/>
              <a:gd name="connsiteY2" fmla="*/ 0 h 146050"/>
              <a:gd name="connsiteX3" fmla="*/ 1409700 w 1409700"/>
              <a:gd name="connsiteY3" fmla="*/ 146050 h 146050"/>
              <a:gd name="connsiteX4" fmla="*/ 0 w 1409700"/>
              <a:gd name="connsiteY4" fmla="*/ 136525 h 1460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409700" h="146050">
                <a:moveTo>
                  <a:pt x="0" y="136525"/>
                </a:moveTo>
                <a:lnTo>
                  <a:pt x="0" y="0"/>
                </a:lnTo>
                <a:lnTo>
                  <a:pt x="1409700" y="0"/>
                </a:lnTo>
                <a:lnTo>
                  <a:pt x="1409700" y="146050"/>
                </a:lnTo>
                <a:lnTo>
                  <a:pt x="0" y="136525"/>
                </a:lnTo>
                <a:close/>
              </a:path>
            </a:pathLst>
          </a:cu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300-00005A020000}"/>
              </a:ext>
            </a:extLst>
          </xdr:cNvPr>
          <xdr:cNvGrpSpPr/>
        </xdr:nvGrpSpPr>
        <xdr:grpSpPr>
          <a:xfrm rot="840000">
            <a:off x="7284586" y="15404916"/>
            <a:ext cx="67650" cy="495706"/>
            <a:chOff x="5127745" y="3745787"/>
            <a:chExt cx="97374" cy="761848"/>
          </a:xfrm>
        </xdr:grpSpPr>
        <xdr:cxnSp macro="">
          <xdr:nvCxnSpPr>
            <xdr:cNvPr id="713" name="Straight Connector 712">
              <a:extLst>
                <a:ext uri="{FF2B5EF4-FFF2-40B4-BE49-F238E27FC236}">
                  <a16:creationId xmlns:a16="http://schemas.microsoft.com/office/drawing/2014/main" id="{00000000-0008-0000-0300-0000C9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3745787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4" name="Straight Connector 713">
              <a:extLst>
                <a:ext uri="{FF2B5EF4-FFF2-40B4-BE49-F238E27FC236}">
                  <a16:creationId xmlns:a16="http://schemas.microsoft.com/office/drawing/2014/main" id="{00000000-0008-0000-0300-0000CA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3892203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5" name="Straight Connector 714">
              <a:extLst>
                <a:ext uri="{FF2B5EF4-FFF2-40B4-BE49-F238E27FC236}">
                  <a16:creationId xmlns:a16="http://schemas.microsoft.com/office/drawing/2014/main" id="{00000000-0008-0000-0300-0000CB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038619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6" name="Straight Connector 715">
              <a:extLst>
                <a:ext uri="{FF2B5EF4-FFF2-40B4-BE49-F238E27FC236}">
                  <a16:creationId xmlns:a16="http://schemas.microsoft.com/office/drawing/2014/main" id="{00000000-0008-0000-0300-0000CC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185035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7" name="Straight Connector 716">
              <a:extLst>
                <a:ext uri="{FF2B5EF4-FFF2-40B4-BE49-F238E27FC236}">
                  <a16:creationId xmlns:a16="http://schemas.microsoft.com/office/drawing/2014/main" id="{00000000-0008-0000-0300-0000CD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331451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8" name="Straight Connector 717">
              <a:extLst>
                <a:ext uri="{FF2B5EF4-FFF2-40B4-BE49-F238E27FC236}">
                  <a16:creationId xmlns:a16="http://schemas.microsoft.com/office/drawing/2014/main" id="{00000000-0008-0000-0300-0000CE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477865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603" name="Group 602">
            <a:extLst>
              <a:ext uri="{FF2B5EF4-FFF2-40B4-BE49-F238E27FC236}">
                <a16:creationId xmlns:a16="http://schemas.microsoft.com/office/drawing/2014/main" id="{00000000-0008-0000-0300-00005B020000}"/>
              </a:ext>
            </a:extLst>
          </xdr:cNvPr>
          <xdr:cNvGrpSpPr/>
        </xdr:nvGrpSpPr>
        <xdr:grpSpPr>
          <a:xfrm rot="20760000" flipH="1">
            <a:off x="6141321" y="15405780"/>
            <a:ext cx="63424" cy="495706"/>
            <a:chOff x="5127745" y="3745787"/>
            <a:chExt cx="97374" cy="761848"/>
          </a:xfrm>
        </xdr:grpSpPr>
        <xdr:cxnSp macro="">
          <xdr:nvCxnSpPr>
            <xdr:cNvPr id="707" name="Straight Connector 706">
              <a:extLst>
                <a:ext uri="{FF2B5EF4-FFF2-40B4-BE49-F238E27FC236}">
                  <a16:creationId xmlns:a16="http://schemas.microsoft.com/office/drawing/2014/main" id="{00000000-0008-0000-0300-0000C3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3745787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8" name="Straight Connector 707">
              <a:extLst>
                <a:ext uri="{FF2B5EF4-FFF2-40B4-BE49-F238E27FC236}">
                  <a16:creationId xmlns:a16="http://schemas.microsoft.com/office/drawing/2014/main" id="{00000000-0008-0000-0300-0000C4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3892203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9" name="Straight Connector 708">
              <a:extLst>
                <a:ext uri="{FF2B5EF4-FFF2-40B4-BE49-F238E27FC236}">
                  <a16:creationId xmlns:a16="http://schemas.microsoft.com/office/drawing/2014/main" id="{00000000-0008-0000-0300-0000C5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038619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0" name="Straight Connector 709">
              <a:extLst>
                <a:ext uri="{FF2B5EF4-FFF2-40B4-BE49-F238E27FC236}">
                  <a16:creationId xmlns:a16="http://schemas.microsoft.com/office/drawing/2014/main" id="{00000000-0008-0000-0300-0000C6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185035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1" name="Straight Connector 710">
              <a:extLst>
                <a:ext uri="{FF2B5EF4-FFF2-40B4-BE49-F238E27FC236}">
                  <a16:creationId xmlns:a16="http://schemas.microsoft.com/office/drawing/2014/main" id="{00000000-0008-0000-0300-0000C7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331451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2" name="Straight Connector 711">
              <a:extLst>
                <a:ext uri="{FF2B5EF4-FFF2-40B4-BE49-F238E27FC236}">
                  <a16:creationId xmlns:a16="http://schemas.microsoft.com/office/drawing/2014/main" id="{00000000-0008-0000-0300-0000C8020000}"/>
                </a:ext>
              </a:extLst>
            </xdr:cNvPr>
            <xdr:cNvCxnSpPr>
              <a:cxnSpLocks noChangeAspect="1"/>
            </xdr:cNvCxnSpPr>
          </xdr:nvCxnSpPr>
          <xdr:spPr>
            <a:xfrm rot="20760000" flipH="1">
              <a:off x="5127745" y="4477865"/>
              <a:ext cx="97374" cy="29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604" name="Group 603">
            <a:extLst>
              <a:ext uri="{FF2B5EF4-FFF2-40B4-BE49-F238E27FC236}">
                <a16:creationId xmlns:a16="http://schemas.microsoft.com/office/drawing/2014/main" id="{00000000-0008-0000-0300-00005C020000}"/>
              </a:ext>
            </a:extLst>
          </xdr:cNvPr>
          <xdr:cNvGrpSpPr/>
        </xdr:nvGrpSpPr>
        <xdr:grpSpPr>
          <a:xfrm>
            <a:off x="6149496" y="15386569"/>
            <a:ext cx="413111" cy="541835"/>
            <a:chOff x="3347864" y="3717588"/>
            <a:chExt cx="630549" cy="832743"/>
          </a:xfrm>
        </xdr:grpSpPr>
        <xdr:cxnSp macro="">
          <xdr:nvCxnSpPr>
            <xdr:cNvPr id="681" name="Straight Connector 680">
              <a:extLst>
                <a:ext uri="{FF2B5EF4-FFF2-40B4-BE49-F238E27FC236}">
                  <a16:creationId xmlns:a16="http://schemas.microsoft.com/office/drawing/2014/main" id="{00000000-0008-0000-0300-0000A9020000}"/>
                </a:ext>
              </a:extLst>
            </xdr:cNvPr>
            <xdr:cNvCxnSpPr/>
          </xdr:nvCxnSpPr>
          <xdr:spPr>
            <a:xfrm flipV="1">
              <a:off x="3379556" y="3756429"/>
              <a:ext cx="52575" cy="74995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2" name="Straight Connector 681">
              <a:extLst>
                <a:ext uri="{FF2B5EF4-FFF2-40B4-BE49-F238E27FC236}">
                  <a16:creationId xmlns:a16="http://schemas.microsoft.com/office/drawing/2014/main" id="{00000000-0008-0000-0300-0000AA020000}"/>
                </a:ext>
              </a:extLst>
            </xdr:cNvPr>
            <xdr:cNvCxnSpPr/>
          </xdr:nvCxnSpPr>
          <xdr:spPr>
            <a:xfrm flipV="1">
              <a:off x="3401711" y="3756123"/>
              <a:ext cx="110353" cy="148585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3" name="Straight Connector 682">
              <a:extLst>
                <a:ext uri="{FF2B5EF4-FFF2-40B4-BE49-F238E27FC236}">
                  <a16:creationId xmlns:a16="http://schemas.microsoft.com/office/drawing/2014/main" id="{00000000-0008-0000-0300-0000AB020000}"/>
                </a:ext>
              </a:extLst>
            </xdr:cNvPr>
            <xdr:cNvCxnSpPr/>
          </xdr:nvCxnSpPr>
          <xdr:spPr>
            <a:xfrm flipV="1">
              <a:off x="3423865" y="3756123"/>
              <a:ext cx="178568" cy="22649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4" name="Straight Connector 683">
              <a:extLst>
                <a:ext uri="{FF2B5EF4-FFF2-40B4-BE49-F238E27FC236}">
                  <a16:creationId xmlns:a16="http://schemas.microsoft.com/office/drawing/2014/main" id="{00000000-0008-0000-0300-0000AC020000}"/>
                </a:ext>
              </a:extLst>
            </xdr:cNvPr>
            <xdr:cNvCxnSpPr/>
          </xdr:nvCxnSpPr>
          <xdr:spPr>
            <a:xfrm flipV="1">
              <a:off x="3437132" y="3756122"/>
              <a:ext cx="259022" cy="299558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5" name="Straight Connector 684">
              <a:extLst>
                <a:ext uri="{FF2B5EF4-FFF2-40B4-BE49-F238E27FC236}">
                  <a16:creationId xmlns:a16="http://schemas.microsoft.com/office/drawing/2014/main" id="{00000000-0008-0000-0300-0000AD020000}"/>
                </a:ext>
              </a:extLst>
            </xdr:cNvPr>
            <xdr:cNvCxnSpPr/>
          </xdr:nvCxnSpPr>
          <xdr:spPr>
            <a:xfrm flipV="1">
              <a:off x="3450399" y="3772104"/>
              <a:ext cx="324000" cy="36000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6" name="Straight Connector 685">
              <a:extLst>
                <a:ext uri="{FF2B5EF4-FFF2-40B4-BE49-F238E27FC236}">
                  <a16:creationId xmlns:a16="http://schemas.microsoft.com/office/drawing/2014/main" id="{00000000-0008-0000-0300-0000AE020000}"/>
                </a:ext>
              </a:extLst>
            </xdr:cNvPr>
            <xdr:cNvCxnSpPr/>
          </xdr:nvCxnSpPr>
          <xdr:spPr>
            <a:xfrm flipV="1">
              <a:off x="3472553" y="3831422"/>
              <a:ext cx="332205" cy="376498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7" name="Straight Connector 686">
              <a:extLst>
                <a:ext uri="{FF2B5EF4-FFF2-40B4-BE49-F238E27FC236}">
                  <a16:creationId xmlns:a16="http://schemas.microsoft.com/office/drawing/2014/main" id="{00000000-0008-0000-0300-0000AF020000}"/>
                </a:ext>
              </a:extLst>
            </xdr:cNvPr>
            <xdr:cNvCxnSpPr/>
          </xdr:nvCxnSpPr>
          <xdr:spPr>
            <a:xfrm flipV="1">
              <a:off x="3485820" y="3908454"/>
              <a:ext cx="341341" cy="374766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8" name="Straight Connector 687">
              <a:extLst>
                <a:ext uri="{FF2B5EF4-FFF2-40B4-BE49-F238E27FC236}">
                  <a16:creationId xmlns:a16="http://schemas.microsoft.com/office/drawing/2014/main" id="{00000000-0008-0000-0300-0000B0020000}"/>
                </a:ext>
              </a:extLst>
            </xdr:cNvPr>
            <xdr:cNvCxnSpPr/>
          </xdr:nvCxnSpPr>
          <xdr:spPr>
            <a:xfrm flipV="1">
              <a:off x="3500179" y="3982613"/>
              <a:ext cx="340249" cy="374054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9" name="Straight Connector 688">
              <a:extLst>
                <a:ext uri="{FF2B5EF4-FFF2-40B4-BE49-F238E27FC236}">
                  <a16:creationId xmlns:a16="http://schemas.microsoft.com/office/drawing/2014/main" id="{00000000-0008-0000-0300-0000B1020000}"/>
                </a:ext>
              </a:extLst>
            </xdr:cNvPr>
            <xdr:cNvCxnSpPr/>
          </xdr:nvCxnSpPr>
          <xdr:spPr>
            <a:xfrm flipV="1">
              <a:off x="3526493" y="4057321"/>
              <a:ext cx="320886" cy="374309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0" name="Straight Connector 689">
              <a:extLst>
                <a:ext uri="{FF2B5EF4-FFF2-40B4-BE49-F238E27FC236}">
                  <a16:creationId xmlns:a16="http://schemas.microsoft.com/office/drawing/2014/main" id="{00000000-0008-0000-0300-0000B2020000}"/>
                </a:ext>
              </a:extLst>
            </xdr:cNvPr>
            <xdr:cNvCxnSpPr/>
          </xdr:nvCxnSpPr>
          <xdr:spPr>
            <a:xfrm flipV="1">
              <a:off x="3541734" y="4134620"/>
              <a:ext cx="327844" cy="37450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1" name="Straight Connector 690">
              <a:extLst>
                <a:ext uri="{FF2B5EF4-FFF2-40B4-BE49-F238E27FC236}">
                  <a16:creationId xmlns:a16="http://schemas.microsoft.com/office/drawing/2014/main" id="{00000000-0008-0000-0300-0000B3020000}"/>
                </a:ext>
              </a:extLst>
            </xdr:cNvPr>
            <xdr:cNvCxnSpPr/>
          </xdr:nvCxnSpPr>
          <xdr:spPr>
            <a:xfrm>
              <a:off x="3354462" y="3756122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2" name="Straight Connector 691">
              <a:extLst>
                <a:ext uri="{FF2B5EF4-FFF2-40B4-BE49-F238E27FC236}">
                  <a16:creationId xmlns:a16="http://schemas.microsoft.com/office/drawing/2014/main" id="{00000000-0008-0000-0300-0000B4020000}"/>
                </a:ext>
              </a:extLst>
            </xdr:cNvPr>
            <xdr:cNvCxnSpPr/>
          </xdr:nvCxnSpPr>
          <xdr:spPr>
            <a:xfrm>
              <a:off x="3379308" y="3831422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3" name="Straight Connector 692">
              <a:extLst>
                <a:ext uri="{FF2B5EF4-FFF2-40B4-BE49-F238E27FC236}">
                  <a16:creationId xmlns:a16="http://schemas.microsoft.com/office/drawing/2014/main" id="{00000000-0008-0000-0300-0000B5020000}"/>
                </a:ext>
              </a:extLst>
            </xdr:cNvPr>
            <xdr:cNvCxnSpPr/>
          </xdr:nvCxnSpPr>
          <xdr:spPr>
            <a:xfrm>
              <a:off x="3401711" y="3906721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4" name="Straight Connector 693">
              <a:extLst>
                <a:ext uri="{FF2B5EF4-FFF2-40B4-BE49-F238E27FC236}">
                  <a16:creationId xmlns:a16="http://schemas.microsoft.com/office/drawing/2014/main" id="{00000000-0008-0000-0300-0000B6020000}"/>
                </a:ext>
              </a:extLst>
            </xdr:cNvPr>
            <xdr:cNvCxnSpPr/>
          </xdr:nvCxnSpPr>
          <xdr:spPr>
            <a:xfrm>
              <a:off x="3414978" y="3982021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5" name="Straight Connector 694">
              <a:extLst>
                <a:ext uri="{FF2B5EF4-FFF2-40B4-BE49-F238E27FC236}">
                  <a16:creationId xmlns:a16="http://schemas.microsoft.com/office/drawing/2014/main" id="{00000000-0008-0000-0300-0000B7020000}"/>
                </a:ext>
              </a:extLst>
            </xdr:cNvPr>
            <xdr:cNvCxnSpPr/>
          </xdr:nvCxnSpPr>
          <xdr:spPr>
            <a:xfrm>
              <a:off x="3429463" y="4057320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6" name="Straight Connector 695">
              <a:extLst>
                <a:ext uri="{FF2B5EF4-FFF2-40B4-BE49-F238E27FC236}">
                  <a16:creationId xmlns:a16="http://schemas.microsoft.com/office/drawing/2014/main" id="{00000000-0008-0000-0300-0000B8020000}"/>
                </a:ext>
              </a:extLst>
            </xdr:cNvPr>
            <xdr:cNvCxnSpPr/>
          </xdr:nvCxnSpPr>
          <xdr:spPr>
            <a:xfrm>
              <a:off x="3444128" y="4132620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7" name="Straight Connector 696">
              <a:extLst>
                <a:ext uri="{FF2B5EF4-FFF2-40B4-BE49-F238E27FC236}">
                  <a16:creationId xmlns:a16="http://schemas.microsoft.com/office/drawing/2014/main" id="{00000000-0008-0000-0300-0000B9020000}"/>
                </a:ext>
              </a:extLst>
            </xdr:cNvPr>
            <xdr:cNvCxnSpPr/>
          </xdr:nvCxnSpPr>
          <xdr:spPr>
            <a:xfrm>
              <a:off x="3472553" y="42079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8" name="Straight Connector 697">
              <a:extLst>
                <a:ext uri="{FF2B5EF4-FFF2-40B4-BE49-F238E27FC236}">
                  <a16:creationId xmlns:a16="http://schemas.microsoft.com/office/drawing/2014/main" id="{00000000-0008-0000-0300-0000BA020000}"/>
                </a:ext>
              </a:extLst>
            </xdr:cNvPr>
            <xdr:cNvCxnSpPr/>
          </xdr:nvCxnSpPr>
          <xdr:spPr>
            <a:xfrm>
              <a:off x="3485820" y="42832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9" name="Straight Connector 698">
              <a:extLst>
                <a:ext uri="{FF2B5EF4-FFF2-40B4-BE49-F238E27FC236}">
                  <a16:creationId xmlns:a16="http://schemas.microsoft.com/office/drawing/2014/main" id="{00000000-0008-0000-0300-0000BB020000}"/>
                </a:ext>
              </a:extLst>
            </xdr:cNvPr>
            <xdr:cNvCxnSpPr/>
          </xdr:nvCxnSpPr>
          <xdr:spPr>
            <a:xfrm>
              <a:off x="3500179" y="4358518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0" name="Straight Connector 699">
              <a:extLst>
                <a:ext uri="{FF2B5EF4-FFF2-40B4-BE49-F238E27FC236}">
                  <a16:creationId xmlns:a16="http://schemas.microsoft.com/office/drawing/2014/main" id="{00000000-0008-0000-0300-0000BC020000}"/>
                </a:ext>
              </a:extLst>
            </xdr:cNvPr>
            <xdr:cNvCxnSpPr/>
          </xdr:nvCxnSpPr>
          <xdr:spPr>
            <a:xfrm>
              <a:off x="3526493" y="4433818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1" name="Straight Connector 700">
              <a:extLst>
                <a:ext uri="{FF2B5EF4-FFF2-40B4-BE49-F238E27FC236}">
                  <a16:creationId xmlns:a16="http://schemas.microsoft.com/office/drawing/2014/main" id="{00000000-0008-0000-0300-0000BD020000}"/>
                </a:ext>
              </a:extLst>
            </xdr:cNvPr>
            <xdr:cNvCxnSpPr/>
          </xdr:nvCxnSpPr>
          <xdr:spPr>
            <a:xfrm>
              <a:off x="3541734" y="45091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2" name="Straight Connector 701">
              <a:extLst>
                <a:ext uri="{FF2B5EF4-FFF2-40B4-BE49-F238E27FC236}">
                  <a16:creationId xmlns:a16="http://schemas.microsoft.com/office/drawing/2014/main" id="{00000000-0008-0000-0300-0000BE020000}"/>
                </a:ext>
              </a:extLst>
            </xdr:cNvPr>
            <xdr:cNvCxnSpPr/>
          </xdr:nvCxnSpPr>
          <xdr:spPr>
            <a:xfrm flipV="1">
              <a:off x="3627703" y="4204662"/>
              <a:ext cx="267215" cy="305242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3" name="Straight Connector 702">
              <a:extLst>
                <a:ext uri="{FF2B5EF4-FFF2-40B4-BE49-F238E27FC236}">
                  <a16:creationId xmlns:a16="http://schemas.microsoft.com/office/drawing/2014/main" id="{00000000-0008-0000-0300-0000BF020000}"/>
                </a:ext>
              </a:extLst>
            </xdr:cNvPr>
            <xdr:cNvCxnSpPr/>
          </xdr:nvCxnSpPr>
          <xdr:spPr>
            <a:xfrm flipV="1">
              <a:off x="3712904" y="4281919"/>
              <a:ext cx="197653" cy="22578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4" name="Straight Connector 703">
              <a:extLst>
                <a:ext uri="{FF2B5EF4-FFF2-40B4-BE49-F238E27FC236}">
                  <a16:creationId xmlns:a16="http://schemas.microsoft.com/office/drawing/2014/main" id="{00000000-0008-0000-0300-0000C0020000}"/>
                </a:ext>
              </a:extLst>
            </xdr:cNvPr>
            <xdr:cNvCxnSpPr/>
          </xdr:nvCxnSpPr>
          <xdr:spPr>
            <a:xfrm flipV="1">
              <a:off x="3784925" y="4356669"/>
              <a:ext cx="138279" cy="157957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5" name="Straight Connector 704">
              <a:extLst>
                <a:ext uri="{FF2B5EF4-FFF2-40B4-BE49-F238E27FC236}">
                  <a16:creationId xmlns:a16="http://schemas.microsoft.com/office/drawing/2014/main" id="{00000000-0008-0000-0300-0000C1020000}"/>
                </a:ext>
              </a:extLst>
            </xdr:cNvPr>
            <xdr:cNvCxnSpPr/>
          </xdr:nvCxnSpPr>
          <xdr:spPr>
            <a:xfrm flipV="1">
              <a:off x="3885073" y="4433193"/>
              <a:ext cx="63774" cy="72847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06" name="Freeform 705">
              <a:extLst>
                <a:ext uri="{FF2B5EF4-FFF2-40B4-BE49-F238E27FC236}">
                  <a16:creationId xmlns:a16="http://schemas.microsoft.com/office/drawing/2014/main" id="{00000000-0008-0000-0300-0000C2020000}"/>
                </a:ext>
              </a:extLst>
            </xdr:cNvPr>
            <xdr:cNvSpPr/>
          </xdr:nvSpPr>
          <xdr:spPr>
            <a:xfrm>
              <a:off x="3347864" y="3717588"/>
              <a:ext cx="630549" cy="832743"/>
            </a:xfrm>
            <a:custGeom>
              <a:avLst/>
              <a:gdLst>
                <a:gd name="connsiteX0" fmla="*/ 622300 w 622300"/>
                <a:gd name="connsiteY0" fmla="*/ 809625 h 809625"/>
                <a:gd name="connsiteX1" fmla="*/ 206375 w 622300"/>
                <a:gd name="connsiteY1" fmla="*/ 809625 h 809625"/>
                <a:gd name="connsiteX2" fmla="*/ 0 w 622300"/>
                <a:gd name="connsiteY2" fmla="*/ 0 h 809625"/>
                <a:gd name="connsiteX3" fmla="*/ 425450 w 622300"/>
                <a:gd name="connsiteY3" fmla="*/ 0 h 809625"/>
                <a:gd name="connsiteX4" fmla="*/ 622300 w 622300"/>
                <a:gd name="connsiteY4" fmla="*/ 809625 h 809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622300" h="809625">
                  <a:moveTo>
                    <a:pt x="622300" y="809625"/>
                  </a:moveTo>
                  <a:lnTo>
                    <a:pt x="206375" y="809625"/>
                  </a:lnTo>
                  <a:lnTo>
                    <a:pt x="0" y="0"/>
                  </a:lnTo>
                  <a:lnTo>
                    <a:pt x="425450" y="0"/>
                  </a:lnTo>
                  <a:lnTo>
                    <a:pt x="622300" y="809625"/>
                  </a:lnTo>
                  <a:close/>
                </a:path>
              </a:pathLst>
            </a:cu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grpSp>
        <xdr:nvGrpSpPr>
          <xdr:cNvPr id="605" name="Group 604">
            <a:extLst>
              <a:ext uri="{FF2B5EF4-FFF2-40B4-BE49-F238E27FC236}">
                <a16:creationId xmlns:a16="http://schemas.microsoft.com/office/drawing/2014/main" id="{00000000-0008-0000-0300-00005D020000}"/>
              </a:ext>
            </a:extLst>
          </xdr:cNvPr>
          <xdr:cNvGrpSpPr/>
        </xdr:nvGrpSpPr>
        <xdr:grpSpPr>
          <a:xfrm flipH="1">
            <a:off x="6932689" y="15385362"/>
            <a:ext cx="410640" cy="541835"/>
            <a:chOff x="3347864" y="3717588"/>
            <a:chExt cx="630549" cy="832743"/>
          </a:xfrm>
        </xdr:grpSpPr>
        <xdr:cxnSp macro="">
          <xdr:nvCxnSpPr>
            <xdr:cNvPr id="655" name="Straight Connector 654">
              <a:extLst>
                <a:ext uri="{FF2B5EF4-FFF2-40B4-BE49-F238E27FC236}">
                  <a16:creationId xmlns:a16="http://schemas.microsoft.com/office/drawing/2014/main" id="{00000000-0008-0000-0300-00008F020000}"/>
                </a:ext>
              </a:extLst>
            </xdr:cNvPr>
            <xdr:cNvCxnSpPr/>
          </xdr:nvCxnSpPr>
          <xdr:spPr>
            <a:xfrm flipV="1">
              <a:off x="3379555" y="3756429"/>
              <a:ext cx="52575" cy="74995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6" name="Straight Connector 655">
              <a:extLst>
                <a:ext uri="{FF2B5EF4-FFF2-40B4-BE49-F238E27FC236}">
                  <a16:creationId xmlns:a16="http://schemas.microsoft.com/office/drawing/2014/main" id="{00000000-0008-0000-0300-000090020000}"/>
                </a:ext>
              </a:extLst>
            </xdr:cNvPr>
            <xdr:cNvCxnSpPr/>
          </xdr:nvCxnSpPr>
          <xdr:spPr>
            <a:xfrm flipV="1">
              <a:off x="3401710" y="3756123"/>
              <a:ext cx="110353" cy="148585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7" name="Straight Connector 656">
              <a:extLst>
                <a:ext uri="{FF2B5EF4-FFF2-40B4-BE49-F238E27FC236}">
                  <a16:creationId xmlns:a16="http://schemas.microsoft.com/office/drawing/2014/main" id="{00000000-0008-0000-0300-000091020000}"/>
                </a:ext>
              </a:extLst>
            </xdr:cNvPr>
            <xdr:cNvCxnSpPr/>
          </xdr:nvCxnSpPr>
          <xdr:spPr>
            <a:xfrm flipV="1">
              <a:off x="3423865" y="3756123"/>
              <a:ext cx="178568" cy="22649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8" name="Straight Connector 657">
              <a:extLst>
                <a:ext uri="{FF2B5EF4-FFF2-40B4-BE49-F238E27FC236}">
                  <a16:creationId xmlns:a16="http://schemas.microsoft.com/office/drawing/2014/main" id="{00000000-0008-0000-0300-000092020000}"/>
                </a:ext>
              </a:extLst>
            </xdr:cNvPr>
            <xdr:cNvCxnSpPr/>
          </xdr:nvCxnSpPr>
          <xdr:spPr>
            <a:xfrm flipV="1">
              <a:off x="3437132" y="3756122"/>
              <a:ext cx="259022" cy="299558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9" name="Straight Connector 658">
              <a:extLst>
                <a:ext uri="{FF2B5EF4-FFF2-40B4-BE49-F238E27FC236}">
                  <a16:creationId xmlns:a16="http://schemas.microsoft.com/office/drawing/2014/main" id="{00000000-0008-0000-0300-000093020000}"/>
                </a:ext>
              </a:extLst>
            </xdr:cNvPr>
            <xdr:cNvCxnSpPr/>
          </xdr:nvCxnSpPr>
          <xdr:spPr>
            <a:xfrm flipV="1">
              <a:off x="3450399" y="3772104"/>
              <a:ext cx="324000" cy="36000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0" name="Straight Connector 659">
              <a:extLst>
                <a:ext uri="{FF2B5EF4-FFF2-40B4-BE49-F238E27FC236}">
                  <a16:creationId xmlns:a16="http://schemas.microsoft.com/office/drawing/2014/main" id="{00000000-0008-0000-0300-000094020000}"/>
                </a:ext>
              </a:extLst>
            </xdr:cNvPr>
            <xdr:cNvCxnSpPr/>
          </xdr:nvCxnSpPr>
          <xdr:spPr>
            <a:xfrm flipV="1">
              <a:off x="3472552" y="3831422"/>
              <a:ext cx="332205" cy="376498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1" name="Straight Connector 660">
              <a:extLst>
                <a:ext uri="{FF2B5EF4-FFF2-40B4-BE49-F238E27FC236}">
                  <a16:creationId xmlns:a16="http://schemas.microsoft.com/office/drawing/2014/main" id="{00000000-0008-0000-0300-000095020000}"/>
                </a:ext>
              </a:extLst>
            </xdr:cNvPr>
            <xdr:cNvCxnSpPr/>
          </xdr:nvCxnSpPr>
          <xdr:spPr>
            <a:xfrm flipV="1">
              <a:off x="3485819" y="3908454"/>
              <a:ext cx="341341" cy="374766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2" name="Straight Connector 661">
              <a:extLst>
                <a:ext uri="{FF2B5EF4-FFF2-40B4-BE49-F238E27FC236}">
                  <a16:creationId xmlns:a16="http://schemas.microsoft.com/office/drawing/2014/main" id="{00000000-0008-0000-0300-000096020000}"/>
                </a:ext>
              </a:extLst>
            </xdr:cNvPr>
            <xdr:cNvCxnSpPr/>
          </xdr:nvCxnSpPr>
          <xdr:spPr>
            <a:xfrm flipV="1">
              <a:off x="3500178" y="3982613"/>
              <a:ext cx="340249" cy="374054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3" name="Straight Connector 662">
              <a:extLst>
                <a:ext uri="{FF2B5EF4-FFF2-40B4-BE49-F238E27FC236}">
                  <a16:creationId xmlns:a16="http://schemas.microsoft.com/office/drawing/2014/main" id="{00000000-0008-0000-0300-000097020000}"/>
                </a:ext>
              </a:extLst>
            </xdr:cNvPr>
            <xdr:cNvCxnSpPr/>
          </xdr:nvCxnSpPr>
          <xdr:spPr>
            <a:xfrm flipV="1">
              <a:off x="3526493" y="4057321"/>
              <a:ext cx="320886" cy="374309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4" name="Straight Connector 663">
              <a:extLst>
                <a:ext uri="{FF2B5EF4-FFF2-40B4-BE49-F238E27FC236}">
                  <a16:creationId xmlns:a16="http://schemas.microsoft.com/office/drawing/2014/main" id="{00000000-0008-0000-0300-000098020000}"/>
                </a:ext>
              </a:extLst>
            </xdr:cNvPr>
            <xdr:cNvCxnSpPr/>
          </xdr:nvCxnSpPr>
          <xdr:spPr>
            <a:xfrm flipV="1">
              <a:off x="3541734" y="4134620"/>
              <a:ext cx="327844" cy="37450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5" name="Straight Connector 664">
              <a:extLst>
                <a:ext uri="{FF2B5EF4-FFF2-40B4-BE49-F238E27FC236}">
                  <a16:creationId xmlns:a16="http://schemas.microsoft.com/office/drawing/2014/main" id="{00000000-0008-0000-0300-000099020000}"/>
                </a:ext>
              </a:extLst>
            </xdr:cNvPr>
            <xdr:cNvCxnSpPr/>
          </xdr:nvCxnSpPr>
          <xdr:spPr>
            <a:xfrm>
              <a:off x="3354462" y="3756122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6" name="Straight Connector 665">
              <a:extLst>
                <a:ext uri="{FF2B5EF4-FFF2-40B4-BE49-F238E27FC236}">
                  <a16:creationId xmlns:a16="http://schemas.microsoft.com/office/drawing/2014/main" id="{00000000-0008-0000-0300-00009A020000}"/>
                </a:ext>
              </a:extLst>
            </xdr:cNvPr>
            <xdr:cNvCxnSpPr/>
          </xdr:nvCxnSpPr>
          <xdr:spPr>
            <a:xfrm>
              <a:off x="3379308" y="3831422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7" name="Straight Connector 666">
              <a:extLst>
                <a:ext uri="{FF2B5EF4-FFF2-40B4-BE49-F238E27FC236}">
                  <a16:creationId xmlns:a16="http://schemas.microsoft.com/office/drawing/2014/main" id="{00000000-0008-0000-0300-00009B020000}"/>
                </a:ext>
              </a:extLst>
            </xdr:cNvPr>
            <xdr:cNvCxnSpPr/>
          </xdr:nvCxnSpPr>
          <xdr:spPr>
            <a:xfrm>
              <a:off x="3401711" y="3906721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8" name="Straight Connector 667">
              <a:extLst>
                <a:ext uri="{FF2B5EF4-FFF2-40B4-BE49-F238E27FC236}">
                  <a16:creationId xmlns:a16="http://schemas.microsoft.com/office/drawing/2014/main" id="{00000000-0008-0000-0300-00009C020000}"/>
                </a:ext>
              </a:extLst>
            </xdr:cNvPr>
            <xdr:cNvCxnSpPr/>
          </xdr:nvCxnSpPr>
          <xdr:spPr>
            <a:xfrm>
              <a:off x="3414978" y="3982021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9" name="Straight Connector 668">
              <a:extLst>
                <a:ext uri="{FF2B5EF4-FFF2-40B4-BE49-F238E27FC236}">
                  <a16:creationId xmlns:a16="http://schemas.microsoft.com/office/drawing/2014/main" id="{00000000-0008-0000-0300-00009D020000}"/>
                </a:ext>
              </a:extLst>
            </xdr:cNvPr>
            <xdr:cNvCxnSpPr/>
          </xdr:nvCxnSpPr>
          <xdr:spPr>
            <a:xfrm>
              <a:off x="3429463" y="4057320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0" name="Straight Connector 669">
              <a:extLst>
                <a:ext uri="{FF2B5EF4-FFF2-40B4-BE49-F238E27FC236}">
                  <a16:creationId xmlns:a16="http://schemas.microsoft.com/office/drawing/2014/main" id="{00000000-0008-0000-0300-00009E020000}"/>
                </a:ext>
              </a:extLst>
            </xdr:cNvPr>
            <xdr:cNvCxnSpPr/>
          </xdr:nvCxnSpPr>
          <xdr:spPr>
            <a:xfrm>
              <a:off x="3444128" y="4132620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1" name="Straight Connector 670">
              <a:extLst>
                <a:ext uri="{FF2B5EF4-FFF2-40B4-BE49-F238E27FC236}">
                  <a16:creationId xmlns:a16="http://schemas.microsoft.com/office/drawing/2014/main" id="{00000000-0008-0000-0300-00009F020000}"/>
                </a:ext>
              </a:extLst>
            </xdr:cNvPr>
            <xdr:cNvCxnSpPr/>
          </xdr:nvCxnSpPr>
          <xdr:spPr>
            <a:xfrm>
              <a:off x="3472553" y="42079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2" name="Straight Connector 671">
              <a:extLst>
                <a:ext uri="{FF2B5EF4-FFF2-40B4-BE49-F238E27FC236}">
                  <a16:creationId xmlns:a16="http://schemas.microsoft.com/office/drawing/2014/main" id="{00000000-0008-0000-0300-0000A0020000}"/>
                </a:ext>
              </a:extLst>
            </xdr:cNvPr>
            <xdr:cNvCxnSpPr/>
          </xdr:nvCxnSpPr>
          <xdr:spPr>
            <a:xfrm>
              <a:off x="3485820" y="42832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3" name="Straight Connector 672">
              <a:extLst>
                <a:ext uri="{FF2B5EF4-FFF2-40B4-BE49-F238E27FC236}">
                  <a16:creationId xmlns:a16="http://schemas.microsoft.com/office/drawing/2014/main" id="{00000000-0008-0000-0300-0000A1020000}"/>
                </a:ext>
              </a:extLst>
            </xdr:cNvPr>
            <xdr:cNvCxnSpPr/>
          </xdr:nvCxnSpPr>
          <xdr:spPr>
            <a:xfrm>
              <a:off x="3500179" y="4358518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4" name="Straight Connector 673">
              <a:extLst>
                <a:ext uri="{FF2B5EF4-FFF2-40B4-BE49-F238E27FC236}">
                  <a16:creationId xmlns:a16="http://schemas.microsoft.com/office/drawing/2014/main" id="{00000000-0008-0000-0300-0000A2020000}"/>
                </a:ext>
              </a:extLst>
            </xdr:cNvPr>
            <xdr:cNvCxnSpPr/>
          </xdr:nvCxnSpPr>
          <xdr:spPr>
            <a:xfrm>
              <a:off x="3526493" y="4433818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5" name="Straight Connector 674">
              <a:extLst>
                <a:ext uri="{FF2B5EF4-FFF2-40B4-BE49-F238E27FC236}">
                  <a16:creationId xmlns:a16="http://schemas.microsoft.com/office/drawing/2014/main" id="{00000000-0008-0000-0300-0000A3020000}"/>
                </a:ext>
              </a:extLst>
            </xdr:cNvPr>
            <xdr:cNvCxnSpPr/>
          </xdr:nvCxnSpPr>
          <xdr:spPr>
            <a:xfrm>
              <a:off x="3541734" y="4509119"/>
              <a:ext cx="42545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6" name="Straight Connector 675">
              <a:extLst>
                <a:ext uri="{FF2B5EF4-FFF2-40B4-BE49-F238E27FC236}">
                  <a16:creationId xmlns:a16="http://schemas.microsoft.com/office/drawing/2014/main" id="{00000000-0008-0000-0300-0000A4020000}"/>
                </a:ext>
              </a:extLst>
            </xdr:cNvPr>
            <xdr:cNvCxnSpPr/>
          </xdr:nvCxnSpPr>
          <xdr:spPr>
            <a:xfrm flipV="1">
              <a:off x="3627702" y="4204662"/>
              <a:ext cx="267215" cy="305242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7" name="Straight Connector 676">
              <a:extLst>
                <a:ext uri="{FF2B5EF4-FFF2-40B4-BE49-F238E27FC236}">
                  <a16:creationId xmlns:a16="http://schemas.microsoft.com/office/drawing/2014/main" id="{00000000-0008-0000-0300-0000A5020000}"/>
                </a:ext>
              </a:extLst>
            </xdr:cNvPr>
            <xdr:cNvCxnSpPr/>
          </xdr:nvCxnSpPr>
          <xdr:spPr>
            <a:xfrm flipV="1">
              <a:off x="3712903" y="4281919"/>
              <a:ext cx="197653" cy="225781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8" name="Straight Connector 677">
              <a:extLst>
                <a:ext uri="{FF2B5EF4-FFF2-40B4-BE49-F238E27FC236}">
                  <a16:creationId xmlns:a16="http://schemas.microsoft.com/office/drawing/2014/main" id="{00000000-0008-0000-0300-0000A6020000}"/>
                </a:ext>
              </a:extLst>
            </xdr:cNvPr>
            <xdr:cNvCxnSpPr/>
          </xdr:nvCxnSpPr>
          <xdr:spPr>
            <a:xfrm flipV="1">
              <a:off x="3784924" y="4356669"/>
              <a:ext cx="138279" cy="157957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9" name="Straight Connector 678">
              <a:extLst>
                <a:ext uri="{FF2B5EF4-FFF2-40B4-BE49-F238E27FC236}">
                  <a16:creationId xmlns:a16="http://schemas.microsoft.com/office/drawing/2014/main" id="{00000000-0008-0000-0300-0000A7020000}"/>
                </a:ext>
              </a:extLst>
            </xdr:cNvPr>
            <xdr:cNvCxnSpPr/>
          </xdr:nvCxnSpPr>
          <xdr:spPr>
            <a:xfrm flipV="1">
              <a:off x="3885073" y="4433193"/>
              <a:ext cx="63774" cy="72847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80" name="Freeform 679">
              <a:extLst>
                <a:ext uri="{FF2B5EF4-FFF2-40B4-BE49-F238E27FC236}">
                  <a16:creationId xmlns:a16="http://schemas.microsoft.com/office/drawing/2014/main" id="{00000000-0008-0000-0300-0000A8020000}"/>
                </a:ext>
              </a:extLst>
            </xdr:cNvPr>
            <xdr:cNvSpPr/>
          </xdr:nvSpPr>
          <xdr:spPr>
            <a:xfrm>
              <a:off x="3347864" y="3717588"/>
              <a:ext cx="630549" cy="832743"/>
            </a:xfrm>
            <a:custGeom>
              <a:avLst/>
              <a:gdLst>
                <a:gd name="connsiteX0" fmla="*/ 622300 w 622300"/>
                <a:gd name="connsiteY0" fmla="*/ 809625 h 809625"/>
                <a:gd name="connsiteX1" fmla="*/ 206375 w 622300"/>
                <a:gd name="connsiteY1" fmla="*/ 809625 h 809625"/>
                <a:gd name="connsiteX2" fmla="*/ 0 w 622300"/>
                <a:gd name="connsiteY2" fmla="*/ 0 h 809625"/>
                <a:gd name="connsiteX3" fmla="*/ 425450 w 622300"/>
                <a:gd name="connsiteY3" fmla="*/ 0 h 809625"/>
                <a:gd name="connsiteX4" fmla="*/ 622300 w 622300"/>
                <a:gd name="connsiteY4" fmla="*/ 809625 h 809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622300" h="809625">
                  <a:moveTo>
                    <a:pt x="622300" y="809625"/>
                  </a:moveTo>
                  <a:lnTo>
                    <a:pt x="206375" y="809625"/>
                  </a:lnTo>
                  <a:lnTo>
                    <a:pt x="0" y="0"/>
                  </a:lnTo>
                  <a:lnTo>
                    <a:pt x="425450" y="0"/>
                  </a:lnTo>
                  <a:lnTo>
                    <a:pt x="622300" y="809625"/>
                  </a:lnTo>
                  <a:close/>
                </a:path>
              </a:pathLst>
            </a:cu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grpSp>
        <xdr:nvGrpSpPr>
          <xdr:cNvPr id="606" name="Group 605">
            <a:extLst>
              <a:ext uri="{FF2B5EF4-FFF2-40B4-BE49-F238E27FC236}">
                <a16:creationId xmlns:a16="http://schemas.microsoft.com/office/drawing/2014/main" id="{00000000-0008-0000-0300-00005E020000}"/>
              </a:ext>
            </a:extLst>
          </xdr:cNvPr>
          <xdr:cNvGrpSpPr/>
        </xdr:nvGrpSpPr>
        <xdr:grpSpPr>
          <a:xfrm>
            <a:off x="6443790" y="15097446"/>
            <a:ext cx="593898" cy="478452"/>
            <a:chOff x="6076951" y="1604010"/>
            <a:chExt cx="790844" cy="922020"/>
          </a:xfrm>
        </xdr:grpSpPr>
        <xdr:sp macro="" textlink="">
          <xdr:nvSpPr>
            <xdr:cNvPr id="652" name="Arc 651">
              <a:extLst>
                <a:ext uri="{FF2B5EF4-FFF2-40B4-BE49-F238E27FC236}">
                  <a16:creationId xmlns:a16="http://schemas.microsoft.com/office/drawing/2014/main" id="{00000000-0008-0000-0300-00008C020000}"/>
                </a:ext>
              </a:extLst>
            </xdr:cNvPr>
            <xdr:cNvSpPr/>
          </xdr:nvSpPr>
          <xdr:spPr>
            <a:xfrm>
              <a:off x="6076951" y="1604010"/>
              <a:ext cx="180000" cy="922020"/>
            </a:xfrm>
            <a:prstGeom prst="arc">
              <a:avLst>
                <a:gd name="adj1" fmla="val 16200000"/>
                <a:gd name="adj2" fmla="val 21523043"/>
              </a:avLst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53" name="Arc 652">
              <a:extLst>
                <a:ext uri="{FF2B5EF4-FFF2-40B4-BE49-F238E27FC236}">
                  <a16:creationId xmlns:a16="http://schemas.microsoft.com/office/drawing/2014/main" id="{00000000-0008-0000-0300-00008D020000}"/>
                </a:ext>
              </a:extLst>
            </xdr:cNvPr>
            <xdr:cNvSpPr/>
          </xdr:nvSpPr>
          <xdr:spPr>
            <a:xfrm flipH="1">
              <a:off x="6687795" y="1604010"/>
              <a:ext cx="180000" cy="921600"/>
            </a:xfrm>
            <a:prstGeom prst="arc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654" name="Straight Connector 653">
              <a:extLst>
                <a:ext uri="{FF2B5EF4-FFF2-40B4-BE49-F238E27FC236}">
                  <a16:creationId xmlns:a16="http://schemas.microsoft.com/office/drawing/2014/main" id="{00000000-0008-0000-0300-00008E020000}"/>
                </a:ext>
              </a:extLst>
            </xdr:cNvPr>
            <xdr:cNvCxnSpPr/>
          </xdr:nvCxnSpPr>
          <xdr:spPr>
            <a:xfrm>
              <a:off x="6156999" y="1604010"/>
              <a:ext cx="628650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07" name="Freeform 606">
            <a:extLst>
              <a:ext uri="{FF2B5EF4-FFF2-40B4-BE49-F238E27FC236}">
                <a16:creationId xmlns:a16="http://schemas.microsoft.com/office/drawing/2014/main" id="{00000000-0008-0000-0300-00005F020000}"/>
              </a:ext>
            </a:extLst>
          </xdr:cNvPr>
          <xdr:cNvSpPr/>
        </xdr:nvSpPr>
        <xdr:spPr>
          <a:xfrm>
            <a:off x="6596477" y="15261061"/>
            <a:ext cx="292444" cy="29748"/>
          </a:xfrm>
          <a:custGeom>
            <a:avLst/>
            <a:gdLst>
              <a:gd name="connsiteX0" fmla="*/ 902994 w 1215516"/>
              <a:gd name="connsiteY0" fmla="*/ 3705 h 389315"/>
              <a:gd name="connsiteX1" fmla="*/ 259104 w 1215516"/>
              <a:gd name="connsiteY1" fmla="*/ 384705 h 389315"/>
              <a:gd name="connsiteX2" fmla="*/ 24 w 1215516"/>
              <a:gd name="connsiteY2" fmla="*/ 201825 h 389315"/>
              <a:gd name="connsiteX3" fmla="*/ 270534 w 1215516"/>
              <a:gd name="connsiteY3" fmla="*/ 7515 h 389315"/>
              <a:gd name="connsiteX4" fmla="*/ 922044 w 1215516"/>
              <a:gd name="connsiteY4" fmla="*/ 380895 h 389315"/>
              <a:gd name="connsiteX5" fmla="*/ 1215414 w 1215516"/>
              <a:gd name="connsiteY5" fmla="*/ 201825 h 389315"/>
              <a:gd name="connsiteX6" fmla="*/ 902994 w 1215516"/>
              <a:gd name="connsiteY6" fmla="*/ 3705 h 389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215516" h="389315">
                <a:moveTo>
                  <a:pt x="902994" y="3705"/>
                </a:moveTo>
                <a:cubicBezTo>
                  <a:pt x="743609" y="34185"/>
                  <a:pt x="409599" y="351685"/>
                  <a:pt x="259104" y="384705"/>
                </a:cubicBezTo>
                <a:cubicBezTo>
                  <a:pt x="108609" y="417725"/>
                  <a:pt x="-1881" y="264690"/>
                  <a:pt x="24" y="201825"/>
                </a:cubicBezTo>
                <a:cubicBezTo>
                  <a:pt x="1929" y="138960"/>
                  <a:pt x="116864" y="-22330"/>
                  <a:pt x="270534" y="7515"/>
                </a:cubicBezTo>
                <a:cubicBezTo>
                  <a:pt x="424204" y="37360"/>
                  <a:pt x="764564" y="348510"/>
                  <a:pt x="922044" y="380895"/>
                </a:cubicBezTo>
                <a:cubicBezTo>
                  <a:pt x="1079524" y="413280"/>
                  <a:pt x="1219859" y="264690"/>
                  <a:pt x="1215414" y="201825"/>
                </a:cubicBezTo>
                <a:cubicBezTo>
                  <a:pt x="1210969" y="138960"/>
                  <a:pt x="1062379" y="-26775"/>
                  <a:pt x="902994" y="3705"/>
                </a:cubicBezTo>
                <a:close/>
              </a:path>
            </a:pathLst>
          </a:custGeom>
          <a:noFill/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08" name="Freeform 607">
            <a:extLst>
              <a:ext uri="{FF2B5EF4-FFF2-40B4-BE49-F238E27FC236}">
                <a16:creationId xmlns:a16="http://schemas.microsoft.com/office/drawing/2014/main" id="{00000000-0008-0000-0300-000060020000}"/>
              </a:ext>
            </a:extLst>
          </xdr:cNvPr>
          <xdr:cNvSpPr/>
        </xdr:nvSpPr>
        <xdr:spPr>
          <a:xfrm>
            <a:off x="6480902" y="15549146"/>
            <a:ext cx="71088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9" name="Freeform 608">
            <a:extLst>
              <a:ext uri="{FF2B5EF4-FFF2-40B4-BE49-F238E27FC236}">
                <a16:creationId xmlns:a16="http://schemas.microsoft.com/office/drawing/2014/main" id="{00000000-0008-0000-0300-000061020000}"/>
              </a:ext>
            </a:extLst>
          </xdr:cNvPr>
          <xdr:cNvSpPr/>
        </xdr:nvSpPr>
        <xdr:spPr>
          <a:xfrm>
            <a:off x="6504208" y="15643659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0" name="Freeform 609">
            <a:extLst>
              <a:ext uri="{FF2B5EF4-FFF2-40B4-BE49-F238E27FC236}">
                <a16:creationId xmlns:a16="http://schemas.microsoft.com/office/drawing/2014/main" id="{00000000-0008-0000-0300-000062020000}"/>
              </a:ext>
            </a:extLst>
          </xdr:cNvPr>
          <xdr:cNvSpPr/>
        </xdr:nvSpPr>
        <xdr:spPr>
          <a:xfrm>
            <a:off x="6526770" y="15738172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1" name="Freeform 610">
            <a:extLst>
              <a:ext uri="{FF2B5EF4-FFF2-40B4-BE49-F238E27FC236}">
                <a16:creationId xmlns:a16="http://schemas.microsoft.com/office/drawing/2014/main" id="{00000000-0008-0000-0300-000063020000}"/>
              </a:ext>
            </a:extLst>
          </xdr:cNvPr>
          <xdr:cNvSpPr/>
        </xdr:nvSpPr>
        <xdr:spPr>
          <a:xfrm>
            <a:off x="6469622" y="15507525"/>
            <a:ext cx="71088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2" name="Freeform 611">
            <a:extLst>
              <a:ext uri="{FF2B5EF4-FFF2-40B4-BE49-F238E27FC236}">
                <a16:creationId xmlns:a16="http://schemas.microsoft.com/office/drawing/2014/main" id="{00000000-0008-0000-0300-000064020000}"/>
              </a:ext>
            </a:extLst>
          </xdr:cNvPr>
          <xdr:cNvSpPr/>
        </xdr:nvSpPr>
        <xdr:spPr>
          <a:xfrm>
            <a:off x="6492185" y="15596403"/>
            <a:ext cx="71088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3" name="Freeform 612">
            <a:extLst>
              <a:ext uri="{FF2B5EF4-FFF2-40B4-BE49-F238E27FC236}">
                <a16:creationId xmlns:a16="http://schemas.microsoft.com/office/drawing/2014/main" id="{00000000-0008-0000-0300-000065020000}"/>
              </a:ext>
            </a:extLst>
          </xdr:cNvPr>
          <xdr:cNvSpPr/>
        </xdr:nvSpPr>
        <xdr:spPr>
          <a:xfrm>
            <a:off x="6515490" y="15690915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4" name="Freeform 613">
            <a:extLst>
              <a:ext uri="{FF2B5EF4-FFF2-40B4-BE49-F238E27FC236}">
                <a16:creationId xmlns:a16="http://schemas.microsoft.com/office/drawing/2014/main" id="{00000000-0008-0000-0300-000066020000}"/>
              </a:ext>
            </a:extLst>
          </xdr:cNvPr>
          <xdr:cNvSpPr/>
        </xdr:nvSpPr>
        <xdr:spPr>
          <a:xfrm>
            <a:off x="6538053" y="15785428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5" name="Freeform 614">
            <a:extLst>
              <a:ext uri="{FF2B5EF4-FFF2-40B4-BE49-F238E27FC236}">
                <a16:creationId xmlns:a16="http://schemas.microsoft.com/office/drawing/2014/main" id="{00000000-0008-0000-0300-000067020000}"/>
              </a:ext>
            </a:extLst>
          </xdr:cNvPr>
          <xdr:cNvSpPr/>
        </xdr:nvSpPr>
        <xdr:spPr>
          <a:xfrm>
            <a:off x="6549333" y="15832684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6" name="Freeform 615">
            <a:extLst>
              <a:ext uri="{FF2B5EF4-FFF2-40B4-BE49-F238E27FC236}">
                <a16:creationId xmlns:a16="http://schemas.microsoft.com/office/drawing/2014/main" id="{00000000-0008-0000-0300-000068020000}"/>
              </a:ext>
            </a:extLst>
          </xdr:cNvPr>
          <xdr:cNvSpPr/>
        </xdr:nvSpPr>
        <xdr:spPr>
          <a:xfrm>
            <a:off x="6560615" y="15879941"/>
            <a:ext cx="70345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617" name="Group 616">
            <a:extLst>
              <a:ext uri="{FF2B5EF4-FFF2-40B4-BE49-F238E27FC236}">
                <a16:creationId xmlns:a16="http://schemas.microsoft.com/office/drawing/2014/main" id="{00000000-0008-0000-0300-000069020000}"/>
              </a:ext>
            </a:extLst>
          </xdr:cNvPr>
          <xdr:cNvGrpSpPr/>
        </xdr:nvGrpSpPr>
        <xdr:grpSpPr>
          <a:xfrm flipH="1">
            <a:off x="6855998" y="15507525"/>
            <a:ext cx="160820" cy="395840"/>
            <a:chOff x="6212032" y="3269847"/>
            <a:chExt cx="246560" cy="608364"/>
          </a:xfrm>
        </xdr:grpSpPr>
        <xdr:sp macro="" textlink="">
          <xdr:nvSpPr>
            <xdr:cNvPr id="643" name="Freeform 642">
              <a:extLst>
                <a:ext uri="{FF2B5EF4-FFF2-40B4-BE49-F238E27FC236}">
                  <a16:creationId xmlns:a16="http://schemas.microsoft.com/office/drawing/2014/main" id="{00000000-0008-0000-0300-000083020000}"/>
                </a:ext>
              </a:extLst>
            </xdr:cNvPr>
            <xdr:cNvSpPr/>
          </xdr:nvSpPr>
          <xdr:spPr>
            <a:xfrm>
              <a:off x="6229352" y="3333815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4" name="Freeform 643">
              <a:extLst>
                <a:ext uri="{FF2B5EF4-FFF2-40B4-BE49-F238E27FC236}">
                  <a16:creationId xmlns:a16="http://schemas.microsoft.com/office/drawing/2014/main" id="{00000000-0008-0000-0300-000084020000}"/>
                </a:ext>
              </a:extLst>
            </xdr:cNvPr>
            <xdr:cNvSpPr/>
          </xdr:nvSpPr>
          <xdr:spPr>
            <a:xfrm>
              <a:off x="6263992" y="3479071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5" name="Freeform 644">
              <a:extLst>
                <a:ext uri="{FF2B5EF4-FFF2-40B4-BE49-F238E27FC236}">
                  <a16:creationId xmlns:a16="http://schemas.microsoft.com/office/drawing/2014/main" id="{00000000-0008-0000-0300-000085020000}"/>
                </a:ext>
              </a:extLst>
            </xdr:cNvPr>
            <xdr:cNvSpPr/>
          </xdr:nvSpPr>
          <xdr:spPr>
            <a:xfrm>
              <a:off x="6298632" y="3624327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6" name="Freeform 645">
              <a:extLst>
                <a:ext uri="{FF2B5EF4-FFF2-40B4-BE49-F238E27FC236}">
                  <a16:creationId xmlns:a16="http://schemas.microsoft.com/office/drawing/2014/main" id="{00000000-0008-0000-0300-000086020000}"/>
                </a:ext>
              </a:extLst>
            </xdr:cNvPr>
            <xdr:cNvSpPr/>
          </xdr:nvSpPr>
          <xdr:spPr>
            <a:xfrm>
              <a:off x="6212032" y="3269847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7" name="Freeform 646">
              <a:extLst>
                <a:ext uri="{FF2B5EF4-FFF2-40B4-BE49-F238E27FC236}">
                  <a16:creationId xmlns:a16="http://schemas.microsoft.com/office/drawing/2014/main" id="{00000000-0008-0000-0300-000087020000}"/>
                </a:ext>
              </a:extLst>
            </xdr:cNvPr>
            <xdr:cNvSpPr/>
          </xdr:nvSpPr>
          <xdr:spPr>
            <a:xfrm>
              <a:off x="6246672" y="3406443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8" name="Freeform 647">
              <a:extLst>
                <a:ext uri="{FF2B5EF4-FFF2-40B4-BE49-F238E27FC236}">
                  <a16:creationId xmlns:a16="http://schemas.microsoft.com/office/drawing/2014/main" id="{00000000-0008-0000-0300-000088020000}"/>
                </a:ext>
              </a:extLst>
            </xdr:cNvPr>
            <xdr:cNvSpPr/>
          </xdr:nvSpPr>
          <xdr:spPr>
            <a:xfrm>
              <a:off x="6281312" y="3551699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9" name="Freeform 648">
              <a:extLst>
                <a:ext uri="{FF2B5EF4-FFF2-40B4-BE49-F238E27FC236}">
                  <a16:creationId xmlns:a16="http://schemas.microsoft.com/office/drawing/2014/main" id="{00000000-0008-0000-0300-000089020000}"/>
                </a:ext>
              </a:extLst>
            </xdr:cNvPr>
            <xdr:cNvSpPr/>
          </xdr:nvSpPr>
          <xdr:spPr>
            <a:xfrm>
              <a:off x="6315952" y="3696955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50" name="Freeform 649">
              <a:extLst>
                <a:ext uri="{FF2B5EF4-FFF2-40B4-BE49-F238E27FC236}">
                  <a16:creationId xmlns:a16="http://schemas.microsoft.com/office/drawing/2014/main" id="{00000000-0008-0000-0300-00008A020000}"/>
                </a:ext>
              </a:extLst>
            </xdr:cNvPr>
            <xdr:cNvSpPr/>
          </xdr:nvSpPr>
          <xdr:spPr>
            <a:xfrm>
              <a:off x="6333272" y="3769583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51" name="Freeform 650">
              <a:extLst>
                <a:ext uri="{FF2B5EF4-FFF2-40B4-BE49-F238E27FC236}">
                  <a16:creationId xmlns:a16="http://schemas.microsoft.com/office/drawing/2014/main" id="{00000000-0008-0000-0300-00008B020000}"/>
                </a:ext>
              </a:extLst>
            </xdr:cNvPr>
            <xdr:cNvSpPr/>
          </xdr:nvSpPr>
          <xdr:spPr>
            <a:xfrm>
              <a:off x="6350592" y="3842211"/>
              <a:ext cx="108000" cy="36000"/>
            </a:xfrm>
            <a:custGeom>
              <a:avLst/>
              <a:gdLst>
                <a:gd name="connsiteX0" fmla="*/ 0 w 307398"/>
                <a:gd name="connsiteY0" fmla="*/ 0 h 155864"/>
                <a:gd name="connsiteX1" fmla="*/ 155864 w 307398"/>
                <a:gd name="connsiteY1" fmla="*/ 155864 h 155864"/>
                <a:gd name="connsiteX2" fmla="*/ 307398 w 307398"/>
                <a:gd name="connsiteY2" fmla="*/ 4330 h 1558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07398" h="155864">
                  <a:moveTo>
                    <a:pt x="0" y="0"/>
                  </a:moveTo>
                  <a:lnTo>
                    <a:pt x="155864" y="155864"/>
                  </a:lnTo>
                  <a:lnTo>
                    <a:pt x="307398" y="4330"/>
                  </a:lnTo>
                </a:path>
              </a:pathLst>
            </a:custGeom>
            <a:ln w="31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618" name="Rectangle 617">
            <a:extLst>
              <a:ext uri="{FF2B5EF4-FFF2-40B4-BE49-F238E27FC236}">
                <a16:creationId xmlns:a16="http://schemas.microsoft.com/office/drawing/2014/main" id="{00000000-0008-0000-0300-00006A020000}"/>
              </a:ext>
            </a:extLst>
          </xdr:cNvPr>
          <xdr:cNvSpPr/>
        </xdr:nvSpPr>
        <xdr:spPr>
          <a:xfrm>
            <a:off x="6148370" y="15339937"/>
            <a:ext cx="1197943" cy="46481"/>
          </a:xfrm>
          <a:prstGeom prst="rect">
            <a:avLst/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19" name="Freeform 618">
            <a:extLst>
              <a:ext uri="{FF2B5EF4-FFF2-40B4-BE49-F238E27FC236}">
                <a16:creationId xmlns:a16="http://schemas.microsoft.com/office/drawing/2014/main" id="{00000000-0008-0000-0300-00006B020000}"/>
              </a:ext>
            </a:extLst>
          </xdr:cNvPr>
          <xdr:cNvSpPr/>
        </xdr:nvSpPr>
        <xdr:spPr>
          <a:xfrm>
            <a:off x="6460318" y="15463370"/>
            <a:ext cx="71088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0" name="Freeform 619">
            <a:extLst>
              <a:ext uri="{FF2B5EF4-FFF2-40B4-BE49-F238E27FC236}">
                <a16:creationId xmlns:a16="http://schemas.microsoft.com/office/drawing/2014/main" id="{00000000-0008-0000-0300-00006C020000}"/>
              </a:ext>
            </a:extLst>
          </xdr:cNvPr>
          <xdr:cNvSpPr/>
        </xdr:nvSpPr>
        <xdr:spPr>
          <a:xfrm>
            <a:off x="6953677" y="15463370"/>
            <a:ext cx="69653" cy="23424"/>
          </a:xfrm>
          <a:custGeom>
            <a:avLst/>
            <a:gdLst>
              <a:gd name="connsiteX0" fmla="*/ 0 w 307398"/>
              <a:gd name="connsiteY0" fmla="*/ 0 h 155864"/>
              <a:gd name="connsiteX1" fmla="*/ 155864 w 307398"/>
              <a:gd name="connsiteY1" fmla="*/ 155864 h 155864"/>
              <a:gd name="connsiteX2" fmla="*/ 307398 w 307398"/>
              <a:gd name="connsiteY2" fmla="*/ 4330 h 1558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07398" h="155864">
                <a:moveTo>
                  <a:pt x="0" y="0"/>
                </a:moveTo>
                <a:lnTo>
                  <a:pt x="155864" y="155864"/>
                </a:lnTo>
                <a:lnTo>
                  <a:pt x="307398" y="4330"/>
                </a:lnTo>
              </a:path>
            </a:pathLst>
          </a:custGeom>
          <a:ln w="31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1" name="Circular Arrow 620">
            <a:extLst>
              <a:ext uri="{FF2B5EF4-FFF2-40B4-BE49-F238E27FC236}">
                <a16:creationId xmlns:a16="http://schemas.microsoft.com/office/drawing/2014/main" id="{00000000-0008-0000-0300-00006D020000}"/>
              </a:ext>
            </a:extLst>
          </xdr:cNvPr>
          <xdr:cNvSpPr/>
        </xdr:nvSpPr>
        <xdr:spPr>
          <a:xfrm rot="5724605" flipH="1">
            <a:off x="6372406" y="15422145"/>
            <a:ext cx="545106" cy="175777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699007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22" name="Circular Arrow 621">
            <a:extLst>
              <a:ext uri="{FF2B5EF4-FFF2-40B4-BE49-F238E27FC236}">
                <a16:creationId xmlns:a16="http://schemas.microsoft.com/office/drawing/2014/main" id="{00000000-0008-0000-0300-00006E020000}"/>
              </a:ext>
            </a:extLst>
          </xdr:cNvPr>
          <xdr:cNvSpPr/>
        </xdr:nvSpPr>
        <xdr:spPr>
          <a:xfrm rot="15875395">
            <a:off x="6562089" y="15420910"/>
            <a:ext cx="545106" cy="178245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62912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cxnSp macro="">
        <xdr:nvCxnSpPr>
          <xdr:cNvPr id="623" name="Elbow Connector 622">
            <a:extLst>
              <a:ext uri="{FF2B5EF4-FFF2-40B4-BE49-F238E27FC236}">
                <a16:creationId xmlns:a16="http://schemas.microsoft.com/office/drawing/2014/main" id="{00000000-0008-0000-0300-00006F020000}"/>
              </a:ext>
            </a:extLst>
          </xdr:cNvPr>
          <xdr:cNvCxnSpPr/>
        </xdr:nvCxnSpPr>
        <xdr:spPr>
          <a:xfrm rot="10800000" flipV="1">
            <a:off x="5961331" y="16024284"/>
            <a:ext cx="806175" cy="255317"/>
          </a:xfrm>
          <a:prstGeom prst="bentConnector3">
            <a:avLst>
              <a:gd name="adj1" fmla="val -277"/>
            </a:avLst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4" name="Straight Connector 623">
            <a:extLst>
              <a:ext uri="{FF2B5EF4-FFF2-40B4-BE49-F238E27FC236}">
                <a16:creationId xmlns:a16="http://schemas.microsoft.com/office/drawing/2014/main" id="{00000000-0008-0000-0300-000070020000}"/>
              </a:ext>
            </a:extLst>
          </xdr:cNvPr>
          <xdr:cNvCxnSpPr/>
        </xdr:nvCxnSpPr>
        <xdr:spPr>
          <a:xfrm>
            <a:off x="5834810" y="15258692"/>
            <a:ext cx="74604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5" name="Straight Connector 624">
            <a:extLst>
              <a:ext uri="{FF2B5EF4-FFF2-40B4-BE49-F238E27FC236}">
                <a16:creationId xmlns:a16="http://schemas.microsoft.com/office/drawing/2014/main" id="{00000000-0008-0000-0300-000071020000}"/>
              </a:ext>
            </a:extLst>
          </xdr:cNvPr>
          <xdr:cNvCxnSpPr/>
        </xdr:nvCxnSpPr>
        <xdr:spPr>
          <a:xfrm>
            <a:off x="6920512" y="15258692"/>
            <a:ext cx="280776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300-000072020000}"/>
              </a:ext>
            </a:extLst>
          </xdr:cNvPr>
          <xdr:cNvCxnSpPr/>
        </xdr:nvCxnSpPr>
        <xdr:spPr>
          <a:xfrm>
            <a:off x="7197699" y="15255096"/>
            <a:ext cx="0" cy="134126"/>
          </a:xfrm>
          <a:prstGeom prst="straightConnector1">
            <a:avLst/>
          </a:prstGeom>
          <a:ln w="9525"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7" name="Straight Arrow Connector 626">
            <a:extLst>
              <a:ext uri="{FF2B5EF4-FFF2-40B4-BE49-F238E27FC236}">
                <a16:creationId xmlns:a16="http://schemas.microsoft.com/office/drawing/2014/main" id="{00000000-0008-0000-0300-000073020000}"/>
              </a:ext>
            </a:extLst>
          </xdr:cNvPr>
          <xdr:cNvCxnSpPr/>
        </xdr:nvCxnSpPr>
        <xdr:spPr>
          <a:xfrm>
            <a:off x="6303776" y="15255096"/>
            <a:ext cx="0" cy="134126"/>
          </a:xfrm>
          <a:prstGeom prst="straightConnector1">
            <a:avLst/>
          </a:prstGeom>
          <a:ln w="9525"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628" name="Group 627">
            <a:extLst>
              <a:ext uri="{FF2B5EF4-FFF2-40B4-BE49-F238E27FC236}">
                <a16:creationId xmlns:a16="http://schemas.microsoft.com/office/drawing/2014/main" id="{00000000-0008-0000-0300-000074020000}"/>
              </a:ext>
            </a:extLst>
          </xdr:cNvPr>
          <xdr:cNvGrpSpPr/>
        </xdr:nvGrpSpPr>
        <xdr:grpSpPr>
          <a:xfrm flipV="1">
            <a:off x="6353473" y="14478000"/>
            <a:ext cx="760826" cy="449912"/>
            <a:chOff x="3305175" y="4676775"/>
            <a:chExt cx="1457325" cy="504825"/>
          </a:xfrm>
        </xdr:grpSpPr>
        <xdr:sp macro="" textlink="">
          <xdr:nvSpPr>
            <xdr:cNvPr id="633" name="Arc 632">
              <a:extLst>
                <a:ext uri="{FF2B5EF4-FFF2-40B4-BE49-F238E27FC236}">
                  <a16:creationId xmlns:a16="http://schemas.microsoft.com/office/drawing/2014/main" id="{00000000-0008-0000-0300-000079020000}"/>
                </a:ext>
              </a:extLst>
            </xdr:cNvPr>
            <xdr:cNvSpPr/>
          </xdr:nvSpPr>
          <xdr:spPr>
            <a:xfrm rot="10800000">
              <a:off x="3619500" y="46767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4" name="Arc 633">
              <a:extLst>
                <a:ext uri="{FF2B5EF4-FFF2-40B4-BE49-F238E27FC236}">
                  <a16:creationId xmlns:a16="http://schemas.microsoft.com/office/drawing/2014/main" id="{00000000-0008-0000-0300-00007A020000}"/>
                </a:ext>
              </a:extLst>
            </xdr:cNvPr>
            <xdr:cNvSpPr/>
          </xdr:nvSpPr>
          <xdr:spPr>
            <a:xfrm rot="10800000">
              <a:off x="3543300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5" name="Arc 634">
              <a:extLst>
                <a:ext uri="{FF2B5EF4-FFF2-40B4-BE49-F238E27FC236}">
                  <a16:creationId xmlns:a16="http://schemas.microsoft.com/office/drawing/2014/main" id="{00000000-0008-0000-0300-00007B020000}"/>
                </a:ext>
              </a:extLst>
            </xdr:cNvPr>
            <xdr:cNvSpPr/>
          </xdr:nvSpPr>
          <xdr:spPr>
            <a:xfrm rot="10800000">
              <a:off x="3562350" y="49625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6" name="Arc 635">
              <a:extLst>
                <a:ext uri="{FF2B5EF4-FFF2-40B4-BE49-F238E27FC236}">
                  <a16:creationId xmlns:a16="http://schemas.microsoft.com/office/drawing/2014/main" id="{00000000-0008-0000-0300-00007C020000}"/>
                </a:ext>
              </a:extLst>
            </xdr:cNvPr>
            <xdr:cNvSpPr/>
          </xdr:nvSpPr>
          <xdr:spPr>
            <a:xfrm rot="10800000">
              <a:off x="3305175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7" name="Arc 636">
              <a:extLst>
                <a:ext uri="{FF2B5EF4-FFF2-40B4-BE49-F238E27FC236}">
                  <a16:creationId xmlns:a16="http://schemas.microsoft.com/office/drawing/2014/main" id="{00000000-0008-0000-0300-00007D020000}"/>
                </a:ext>
              </a:extLst>
            </xdr:cNvPr>
            <xdr:cNvSpPr/>
          </xdr:nvSpPr>
          <xdr:spPr>
            <a:xfrm rot="9829482">
              <a:off x="4095749" y="4857751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8" name="Arc 637">
              <a:extLst>
                <a:ext uri="{FF2B5EF4-FFF2-40B4-BE49-F238E27FC236}">
                  <a16:creationId xmlns:a16="http://schemas.microsoft.com/office/drawing/2014/main" id="{00000000-0008-0000-0300-00007E020000}"/>
                </a:ext>
              </a:extLst>
            </xdr:cNvPr>
            <xdr:cNvSpPr/>
          </xdr:nvSpPr>
          <xdr:spPr>
            <a:xfrm rot="9861198">
              <a:off x="3867150" y="49244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39" name="Arc 638">
              <a:extLst>
                <a:ext uri="{FF2B5EF4-FFF2-40B4-BE49-F238E27FC236}">
                  <a16:creationId xmlns:a16="http://schemas.microsoft.com/office/drawing/2014/main" id="{00000000-0008-0000-0300-00007F020000}"/>
                </a:ext>
              </a:extLst>
            </xdr:cNvPr>
            <xdr:cNvSpPr/>
          </xdr:nvSpPr>
          <xdr:spPr>
            <a:xfrm rot="10800000" flipH="1">
              <a:off x="3609975" y="47339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0" name="Arc 639">
              <a:extLst>
                <a:ext uri="{FF2B5EF4-FFF2-40B4-BE49-F238E27FC236}">
                  <a16:creationId xmlns:a16="http://schemas.microsoft.com/office/drawing/2014/main" id="{00000000-0008-0000-0300-000080020000}"/>
                </a:ext>
              </a:extLst>
            </xdr:cNvPr>
            <xdr:cNvSpPr/>
          </xdr:nvSpPr>
          <xdr:spPr>
            <a:xfrm rot="10800000" flipH="1">
              <a:off x="3876675" y="47625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1" name="Arc 640">
              <a:extLst>
                <a:ext uri="{FF2B5EF4-FFF2-40B4-BE49-F238E27FC236}">
                  <a16:creationId xmlns:a16="http://schemas.microsoft.com/office/drawing/2014/main" id="{00000000-0008-0000-0300-000081020000}"/>
                </a:ext>
              </a:extLst>
            </xdr:cNvPr>
            <xdr:cNvSpPr/>
          </xdr:nvSpPr>
          <xdr:spPr>
            <a:xfrm rot="10800000" flipH="1">
              <a:off x="4114800" y="48387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642" name="Arc 641">
              <a:extLst>
                <a:ext uri="{FF2B5EF4-FFF2-40B4-BE49-F238E27FC236}">
                  <a16:creationId xmlns:a16="http://schemas.microsoft.com/office/drawing/2014/main" id="{00000000-0008-0000-0300-000082020000}"/>
                </a:ext>
              </a:extLst>
            </xdr:cNvPr>
            <xdr:cNvSpPr/>
          </xdr:nvSpPr>
          <xdr:spPr>
            <a:xfrm rot="10800000" flipH="1">
              <a:off x="4191000" y="470535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629" name="TextBox 628">
            <a:extLst>
              <a:ext uri="{FF2B5EF4-FFF2-40B4-BE49-F238E27FC236}">
                <a16:creationId xmlns:a16="http://schemas.microsoft.com/office/drawing/2014/main" id="{00000000-0008-0000-0300-000075020000}"/>
              </a:ext>
            </a:extLst>
          </xdr:cNvPr>
          <xdr:cNvSpPr txBox="1"/>
        </xdr:nvSpPr>
        <xdr:spPr>
          <a:xfrm flipH="1">
            <a:off x="5880394" y="14899481"/>
            <a:ext cx="623002" cy="6680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Wet cooling</a:t>
            </a:r>
            <a:r>
              <a:rPr lang="en-GB" sz="800" baseline="0"/>
              <a:t> T</a:t>
            </a:r>
            <a:r>
              <a:rPr lang="en-GB" sz="800"/>
              <a:t>ower</a:t>
            </a:r>
          </a:p>
        </xdr:txBody>
      </xdr:sp>
      <xdr:sp macro="" textlink="">
        <xdr:nvSpPr>
          <xdr:cNvPr id="630" name="Circular Arrow 629">
            <a:extLst>
              <a:ext uri="{FF2B5EF4-FFF2-40B4-BE49-F238E27FC236}">
                <a16:creationId xmlns:a16="http://schemas.microsoft.com/office/drawing/2014/main" id="{00000000-0008-0000-0300-000076020000}"/>
              </a:ext>
            </a:extLst>
          </xdr:cNvPr>
          <xdr:cNvSpPr/>
        </xdr:nvSpPr>
        <xdr:spPr>
          <a:xfrm rot="9891489">
            <a:off x="7077075" y="15516225"/>
            <a:ext cx="717146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31" name="Circular Arrow 630">
            <a:extLst>
              <a:ext uri="{FF2B5EF4-FFF2-40B4-BE49-F238E27FC236}">
                <a16:creationId xmlns:a16="http://schemas.microsoft.com/office/drawing/2014/main" id="{00000000-0008-0000-0300-000077020000}"/>
              </a:ext>
            </a:extLst>
          </xdr:cNvPr>
          <xdr:cNvSpPr/>
        </xdr:nvSpPr>
        <xdr:spPr>
          <a:xfrm rot="17228119">
            <a:off x="6591300" y="14744700"/>
            <a:ext cx="717146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632" name="Circular Arrow 631">
            <a:extLst>
              <a:ext uri="{FF2B5EF4-FFF2-40B4-BE49-F238E27FC236}">
                <a16:creationId xmlns:a16="http://schemas.microsoft.com/office/drawing/2014/main" id="{00000000-0008-0000-0300-000078020000}"/>
              </a:ext>
            </a:extLst>
          </xdr:cNvPr>
          <xdr:cNvSpPr/>
        </xdr:nvSpPr>
        <xdr:spPr>
          <a:xfrm rot="4425799" flipH="1">
            <a:off x="6201174" y="14734776"/>
            <a:ext cx="717146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545824</xdr:colOff>
      <xdr:row>164</xdr:row>
      <xdr:rowOff>158027</xdr:rowOff>
    </xdr:from>
    <xdr:to>
      <xdr:col>4</xdr:col>
      <xdr:colOff>14758</xdr:colOff>
      <xdr:row>170</xdr:row>
      <xdr:rowOff>99350</xdr:rowOff>
    </xdr:to>
    <xdr:grpSp>
      <xdr:nvGrpSpPr>
        <xdr:cNvPr id="719" name="Condenser spray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GrpSpPr/>
      </xdr:nvGrpSpPr>
      <xdr:grpSpPr>
        <a:xfrm>
          <a:off x="545824" y="27209027"/>
          <a:ext cx="1373934" cy="912873"/>
          <a:chOff x="609600" y="7620000"/>
          <a:chExt cx="1322118" cy="946442"/>
        </a:xfrm>
      </xdr:grpSpPr>
      <xdr:sp macro="" textlink="">
        <xdr:nvSpPr>
          <xdr:cNvPr id="720" name="Freeform 719">
            <a:extLst>
              <a:ext uri="{FF2B5EF4-FFF2-40B4-BE49-F238E27FC236}">
                <a16:creationId xmlns:a16="http://schemas.microsoft.com/office/drawing/2014/main" id="{00000000-0008-0000-0300-0000D0020000}"/>
              </a:ext>
            </a:extLst>
          </xdr:cNvPr>
          <xdr:cNvSpPr/>
        </xdr:nvSpPr>
        <xdr:spPr>
          <a:xfrm>
            <a:off x="986290" y="8444317"/>
            <a:ext cx="568738" cy="119560"/>
          </a:xfrm>
          <a:custGeom>
            <a:avLst/>
            <a:gdLst>
              <a:gd name="connsiteX0" fmla="*/ 0 w 1410510"/>
              <a:gd name="connsiteY0" fmla="*/ 50247 h 111048"/>
              <a:gd name="connsiteX1" fmla="*/ 52691 w 1410510"/>
              <a:gd name="connsiteY1" fmla="*/ 1609 h 111048"/>
              <a:gd name="connsiteX2" fmla="*/ 137808 w 1410510"/>
              <a:gd name="connsiteY2" fmla="*/ 102939 h 111048"/>
              <a:gd name="connsiteX3" fmla="*/ 243191 w 1410510"/>
              <a:gd name="connsiteY3" fmla="*/ 13768 h 111048"/>
              <a:gd name="connsiteX4" fmla="*/ 344521 w 1410510"/>
              <a:gd name="connsiteY4" fmla="*/ 106992 h 111048"/>
              <a:gd name="connsiteX5" fmla="*/ 433691 w 1410510"/>
              <a:gd name="connsiteY5" fmla="*/ 17822 h 111048"/>
              <a:gd name="connsiteX6" fmla="*/ 535021 w 1410510"/>
              <a:gd name="connsiteY6" fmla="*/ 102939 h 111048"/>
              <a:gd name="connsiteX7" fmla="*/ 636351 w 1410510"/>
              <a:gd name="connsiteY7" fmla="*/ 13768 h 111048"/>
              <a:gd name="connsiteX8" fmla="*/ 701202 w 1410510"/>
              <a:gd name="connsiteY8" fmla="*/ 106992 h 111048"/>
              <a:gd name="connsiteX9" fmla="*/ 794425 w 1410510"/>
              <a:gd name="connsiteY9" fmla="*/ 17822 h 111048"/>
              <a:gd name="connsiteX10" fmla="*/ 891702 w 1410510"/>
              <a:gd name="connsiteY10" fmla="*/ 111045 h 111048"/>
              <a:gd name="connsiteX11" fmla="*/ 956553 w 1410510"/>
              <a:gd name="connsiteY11" fmla="*/ 21875 h 111048"/>
              <a:gd name="connsiteX12" fmla="*/ 1070042 w 1410510"/>
              <a:gd name="connsiteY12" fmla="*/ 102939 h 111048"/>
              <a:gd name="connsiteX13" fmla="*/ 1155159 w 1410510"/>
              <a:gd name="connsiteY13" fmla="*/ 21875 h 111048"/>
              <a:gd name="connsiteX14" fmla="*/ 1232170 w 1410510"/>
              <a:gd name="connsiteY14" fmla="*/ 111045 h 111048"/>
              <a:gd name="connsiteX15" fmla="*/ 1317287 w 1410510"/>
              <a:gd name="connsiteY15" fmla="*/ 17822 h 111048"/>
              <a:gd name="connsiteX16" fmla="*/ 1410510 w 1410510"/>
              <a:gd name="connsiteY16" fmla="*/ 70513 h 111048"/>
              <a:gd name="connsiteX0" fmla="*/ 0 w 1418616"/>
              <a:gd name="connsiteY0" fmla="*/ 50247 h 128541"/>
              <a:gd name="connsiteX1" fmla="*/ 52691 w 1418616"/>
              <a:gd name="connsiteY1" fmla="*/ 1609 h 128541"/>
              <a:gd name="connsiteX2" fmla="*/ 137808 w 1418616"/>
              <a:gd name="connsiteY2" fmla="*/ 102939 h 128541"/>
              <a:gd name="connsiteX3" fmla="*/ 243191 w 1418616"/>
              <a:gd name="connsiteY3" fmla="*/ 13768 h 128541"/>
              <a:gd name="connsiteX4" fmla="*/ 344521 w 1418616"/>
              <a:gd name="connsiteY4" fmla="*/ 106992 h 128541"/>
              <a:gd name="connsiteX5" fmla="*/ 433691 w 1418616"/>
              <a:gd name="connsiteY5" fmla="*/ 17822 h 128541"/>
              <a:gd name="connsiteX6" fmla="*/ 535021 w 1418616"/>
              <a:gd name="connsiteY6" fmla="*/ 102939 h 128541"/>
              <a:gd name="connsiteX7" fmla="*/ 636351 w 1418616"/>
              <a:gd name="connsiteY7" fmla="*/ 13768 h 128541"/>
              <a:gd name="connsiteX8" fmla="*/ 701202 w 1418616"/>
              <a:gd name="connsiteY8" fmla="*/ 106992 h 128541"/>
              <a:gd name="connsiteX9" fmla="*/ 794425 w 1418616"/>
              <a:gd name="connsiteY9" fmla="*/ 17822 h 128541"/>
              <a:gd name="connsiteX10" fmla="*/ 891702 w 1418616"/>
              <a:gd name="connsiteY10" fmla="*/ 111045 h 128541"/>
              <a:gd name="connsiteX11" fmla="*/ 956553 w 1418616"/>
              <a:gd name="connsiteY11" fmla="*/ 21875 h 128541"/>
              <a:gd name="connsiteX12" fmla="*/ 1070042 w 1418616"/>
              <a:gd name="connsiteY12" fmla="*/ 102939 h 128541"/>
              <a:gd name="connsiteX13" fmla="*/ 1155159 w 1418616"/>
              <a:gd name="connsiteY13" fmla="*/ 21875 h 128541"/>
              <a:gd name="connsiteX14" fmla="*/ 1232170 w 1418616"/>
              <a:gd name="connsiteY14" fmla="*/ 111045 h 128541"/>
              <a:gd name="connsiteX15" fmla="*/ 1317287 w 1418616"/>
              <a:gd name="connsiteY15" fmla="*/ 17822 h 128541"/>
              <a:gd name="connsiteX16" fmla="*/ 1418616 w 1418616"/>
              <a:gd name="connsiteY16" fmla="*/ 128541 h 128541"/>
              <a:gd name="connsiteX0" fmla="*/ 0 w 1418616"/>
              <a:gd name="connsiteY0" fmla="*/ 267983 h 267983"/>
              <a:gd name="connsiteX1" fmla="*/ 52691 w 1418616"/>
              <a:gd name="connsiteY1" fmla="*/ 3816 h 267983"/>
              <a:gd name="connsiteX2" fmla="*/ 137808 w 1418616"/>
              <a:gd name="connsiteY2" fmla="*/ 105146 h 267983"/>
              <a:gd name="connsiteX3" fmla="*/ 243191 w 1418616"/>
              <a:gd name="connsiteY3" fmla="*/ 15975 h 267983"/>
              <a:gd name="connsiteX4" fmla="*/ 344521 w 1418616"/>
              <a:gd name="connsiteY4" fmla="*/ 109199 h 267983"/>
              <a:gd name="connsiteX5" fmla="*/ 433691 w 1418616"/>
              <a:gd name="connsiteY5" fmla="*/ 20029 h 267983"/>
              <a:gd name="connsiteX6" fmla="*/ 535021 w 1418616"/>
              <a:gd name="connsiteY6" fmla="*/ 105146 h 267983"/>
              <a:gd name="connsiteX7" fmla="*/ 636351 w 1418616"/>
              <a:gd name="connsiteY7" fmla="*/ 15975 h 267983"/>
              <a:gd name="connsiteX8" fmla="*/ 701202 w 1418616"/>
              <a:gd name="connsiteY8" fmla="*/ 109199 h 267983"/>
              <a:gd name="connsiteX9" fmla="*/ 794425 w 1418616"/>
              <a:gd name="connsiteY9" fmla="*/ 20029 h 267983"/>
              <a:gd name="connsiteX10" fmla="*/ 891702 w 1418616"/>
              <a:gd name="connsiteY10" fmla="*/ 113252 h 267983"/>
              <a:gd name="connsiteX11" fmla="*/ 956553 w 1418616"/>
              <a:gd name="connsiteY11" fmla="*/ 24082 h 267983"/>
              <a:gd name="connsiteX12" fmla="*/ 1070042 w 1418616"/>
              <a:gd name="connsiteY12" fmla="*/ 105146 h 267983"/>
              <a:gd name="connsiteX13" fmla="*/ 1155159 w 1418616"/>
              <a:gd name="connsiteY13" fmla="*/ 24082 h 267983"/>
              <a:gd name="connsiteX14" fmla="*/ 1232170 w 1418616"/>
              <a:gd name="connsiteY14" fmla="*/ 113252 h 267983"/>
              <a:gd name="connsiteX15" fmla="*/ 1317287 w 1418616"/>
              <a:gd name="connsiteY15" fmla="*/ 20029 h 267983"/>
              <a:gd name="connsiteX16" fmla="*/ 1418616 w 1418616"/>
              <a:gd name="connsiteY16" fmla="*/ 130748 h 267983"/>
              <a:gd name="connsiteX0" fmla="*/ 0 w 1418616"/>
              <a:gd name="connsiteY0" fmla="*/ 264488 h 264488"/>
              <a:gd name="connsiteX1" fmla="*/ 28372 w 1418616"/>
              <a:gd name="connsiteY1" fmla="*/ 142917 h 264488"/>
              <a:gd name="connsiteX2" fmla="*/ 52691 w 1418616"/>
              <a:gd name="connsiteY2" fmla="*/ 321 h 264488"/>
              <a:gd name="connsiteX3" fmla="*/ 137808 w 1418616"/>
              <a:gd name="connsiteY3" fmla="*/ 101651 h 264488"/>
              <a:gd name="connsiteX4" fmla="*/ 243191 w 1418616"/>
              <a:gd name="connsiteY4" fmla="*/ 12480 h 264488"/>
              <a:gd name="connsiteX5" fmla="*/ 344521 w 1418616"/>
              <a:gd name="connsiteY5" fmla="*/ 105704 h 264488"/>
              <a:gd name="connsiteX6" fmla="*/ 433691 w 1418616"/>
              <a:gd name="connsiteY6" fmla="*/ 16534 h 264488"/>
              <a:gd name="connsiteX7" fmla="*/ 535021 w 1418616"/>
              <a:gd name="connsiteY7" fmla="*/ 101651 h 264488"/>
              <a:gd name="connsiteX8" fmla="*/ 636351 w 1418616"/>
              <a:gd name="connsiteY8" fmla="*/ 12480 h 264488"/>
              <a:gd name="connsiteX9" fmla="*/ 701202 w 1418616"/>
              <a:gd name="connsiteY9" fmla="*/ 105704 h 264488"/>
              <a:gd name="connsiteX10" fmla="*/ 794425 w 1418616"/>
              <a:gd name="connsiteY10" fmla="*/ 16534 h 264488"/>
              <a:gd name="connsiteX11" fmla="*/ 891702 w 1418616"/>
              <a:gd name="connsiteY11" fmla="*/ 109757 h 264488"/>
              <a:gd name="connsiteX12" fmla="*/ 956553 w 1418616"/>
              <a:gd name="connsiteY12" fmla="*/ 20587 h 264488"/>
              <a:gd name="connsiteX13" fmla="*/ 1070042 w 1418616"/>
              <a:gd name="connsiteY13" fmla="*/ 101651 h 264488"/>
              <a:gd name="connsiteX14" fmla="*/ 1155159 w 1418616"/>
              <a:gd name="connsiteY14" fmla="*/ 20587 h 264488"/>
              <a:gd name="connsiteX15" fmla="*/ 1232170 w 1418616"/>
              <a:gd name="connsiteY15" fmla="*/ 109757 h 264488"/>
              <a:gd name="connsiteX16" fmla="*/ 1317287 w 1418616"/>
              <a:gd name="connsiteY16" fmla="*/ 16534 h 264488"/>
              <a:gd name="connsiteX17" fmla="*/ 1418616 w 1418616"/>
              <a:gd name="connsiteY17" fmla="*/ 127253 h 264488"/>
              <a:gd name="connsiteX0" fmla="*/ 6551 w 1425167"/>
              <a:gd name="connsiteY0" fmla="*/ 264181 h 264181"/>
              <a:gd name="connsiteX1" fmla="*/ 2498 w 1425167"/>
              <a:gd name="connsiteY1" fmla="*/ 109451 h 264181"/>
              <a:gd name="connsiteX2" fmla="*/ 59242 w 1425167"/>
              <a:gd name="connsiteY2" fmla="*/ 14 h 264181"/>
              <a:gd name="connsiteX3" fmla="*/ 144359 w 1425167"/>
              <a:gd name="connsiteY3" fmla="*/ 101344 h 264181"/>
              <a:gd name="connsiteX4" fmla="*/ 249742 w 1425167"/>
              <a:gd name="connsiteY4" fmla="*/ 12173 h 264181"/>
              <a:gd name="connsiteX5" fmla="*/ 351072 w 1425167"/>
              <a:gd name="connsiteY5" fmla="*/ 105397 h 264181"/>
              <a:gd name="connsiteX6" fmla="*/ 440242 w 1425167"/>
              <a:gd name="connsiteY6" fmla="*/ 16227 h 264181"/>
              <a:gd name="connsiteX7" fmla="*/ 541572 w 1425167"/>
              <a:gd name="connsiteY7" fmla="*/ 101344 h 264181"/>
              <a:gd name="connsiteX8" fmla="*/ 642902 w 1425167"/>
              <a:gd name="connsiteY8" fmla="*/ 12173 h 264181"/>
              <a:gd name="connsiteX9" fmla="*/ 707753 w 1425167"/>
              <a:gd name="connsiteY9" fmla="*/ 105397 h 264181"/>
              <a:gd name="connsiteX10" fmla="*/ 800976 w 1425167"/>
              <a:gd name="connsiteY10" fmla="*/ 16227 h 264181"/>
              <a:gd name="connsiteX11" fmla="*/ 898253 w 1425167"/>
              <a:gd name="connsiteY11" fmla="*/ 109450 h 264181"/>
              <a:gd name="connsiteX12" fmla="*/ 963104 w 1425167"/>
              <a:gd name="connsiteY12" fmla="*/ 20280 h 264181"/>
              <a:gd name="connsiteX13" fmla="*/ 1076593 w 1425167"/>
              <a:gd name="connsiteY13" fmla="*/ 101344 h 264181"/>
              <a:gd name="connsiteX14" fmla="*/ 1161710 w 1425167"/>
              <a:gd name="connsiteY14" fmla="*/ 20280 h 264181"/>
              <a:gd name="connsiteX15" fmla="*/ 1238721 w 1425167"/>
              <a:gd name="connsiteY15" fmla="*/ 109450 h 264181"/>
              <a:gd name="connsiteX16" fmla="*/ 1323838 w 1425167"/>
              <a:gd name="connsiteY16" fmla="*/ 16227 h 264181"/>
              <a:gd name="connsiteX17" fmla="*/ 1425167 w 1425167"/>
              <a:gd name="connsiteY17" fmla="*/ 126946 h 264181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408954 w 1408954"/>
              <a:gd name="connsiteY17" fmla="*/ 267869 h 267869"/>
              <a:gd name="connsiteX0" fmla="*/ 6551 w 1408954"/>
              <a:gd name="connsiteY0" fmla="*/ 264181 h 267869"/>
              <a:gd name="connsiteX1" fmla="*/ 2498 w 1408954"/>
              <a:gd name="connsiteY1" fmla="*/ 109451 h 267869"/>
              <a:gd name="connsiteX2" fmla="*/ 59242 w 1408954"/>
              <a:gd name="connsiteY2" fmla="*/ 14 h 267869"/>
              <a:gd name="connsiteX3" fmla="*/ 144359 w 1408954"/>
              <a:gd name="connsiteY3" fmla="*/ 101344 h 267869"/>
              <a:gd name="connsiteX4" fmla="*/ 249742 w 1408954"/>
              <a:gd name="connsiteY4" fmla="*/ 12173 h 267869"/>
              <a:gd name="connsiteX5" fmla="*/ 351072 w 1408954"/>
              <a:gd name="connsiteY5" fmla="*/ 105397 h 267869"/>
              <a:gd name="connsiteX6" fmla="*/ 440242 w 1408954"/>
              <a:gd name="connsiteY6" fmla="*/ 16227 h 267869"/>
              <a:gd name="connsiteX7" fmla="*/ 541572 w 1408954"/>
              <a:gd name="connsiteY7" fmla="*/ 101344 h 267869"/>
              <a:gd name="connsiteX8" fmla="*/ 642902 w 1408954"/>
              <a:gd name="connsiteY8" fmla="*/ 12173 h 267869"/>
              <a:gd name="connsiteX9" fmla="*/ 707753 w 1408954"/>
              <a:gd name="connsiteY9" fmla="*/ 105397 h 267869"/>
              <a:gd name="connsiteX10" fmla="*/ 800976 w 1408954"/>
              <a:gd name="connsiteY10" fmla="*/ 16227 h 267869"/>
              <a:gd name="connsiteX11" fmla="*/ 898253 w 1408954"/>
              <a:gd name="connsiteY11" fmla="*/ 109450 h 267869"/>
              <a:gd name="connsiteX12" fmla="*/ 963104 w 1408954"/>
              <a:gd name="connsiteY12" fmla="*/ 20280 h 267869"/>
              <a:gd name="connsiteX13" fmla="*/ 1076593 w 1408954"/>
              <a:gd name="connsiteY13" fmla="*/ 101344 h 267869"/>
              <a:gd name="connsiteX14" fmla="*/ 1161710 w 1408954"/>
              <a:gd name="connsiteY14" fmla="*/ 20280 h 267869"/>
              <a:gd name="connsiteX15" fmla="*/ 1238721 w 1408954"/>
              <a:gd name="connsiteY15" fmla="*/ 109450 h 267869"/>
              <a:gd name="connsiteX16" fmla="*/ 1323838 w 1408954"/>
              <a:gd name="connsiteY16" fmla="*/ 16227 h 267869"/>
              <a:gd name="connsiteX17" fmla="*/ 1372477 w 1408954"/>
              <a:gd name="connsiteY17" fmla="*/ 184056 h 267869"/>
              <a:gd name="connsiteX18" fmla="*/ 1408954 w 1408954"/>
              <a:gd name="connsiteY18" fmla="*/ 267869 h 267869"/>
              <a:gd name="connsiteX0" fmla="*/ 6551 w 1424741"/>
              <a:gd name="connsiteY0" fmla="*/ 264181 h 267869"/>
              <a:gd name="connsiteX1" fmla="*/ 2498 w 1424741"/>
              <a:gd name="connsiteY1" fmla="*/ 109451 h 267869"/>
              <a:gd name="connsiteX2" fmla="*/ 59242 w 1424741"/>
              <a:gd name="connsiteY2" fmla="*/ 14 h 267869"/>
              <a:gd name="connsiteX3" fmla="*/ 144359 w 1424741"/>
              <a:gd name="connsiteY3" fmla="*/ 101344 h 267869"/>
              <a:gd name="connsiteX4" fmla="*/ 249742 w 1424741"/>
              <a:gd name="connsiteY4" fmla="*/ 12173 h 267869"/>
              <a:gd name="connsiteX5" fmla="*/ 351072 w 1424741"/>
              <a:gd name="connsiteY5" fmla="*/ 105397 h 267869"/>
              <a:gd name="connsiteX6" fmla="*/ 440242 w 1424741"/>
              <a:gd name="connsiteY6" fmla="*/ 16227 h 267869"/>
              <a:gd name="connsiteX7" fmla="*/ 541572 w 1424741"/>
              <a:gd name="connsiteY7" fmla="*/ 101344 h 267869"/>
              <a:gd name="connsiteX8" fmla="*/ 642902 w 1424741"/>
              <a:gd name="connsiteY8" fmla="*/ 12173 h 267869"/>
              <a:gd name="connsiteX9" fmla="*/ 707753 w 1424741"/>
              <a:gd name="connsiteY9" fmla="*/ 105397 h 267869"/>
              <a:gd name="connsiteX10" fmla="*/ 800976 w 1424741"/>
              <a:gd name="connsiteY10" fmla="*/ 16227 h 267869"/>
              <a:gd name="connsiteX11" fmla="*/ 898253 w 1424741"/>
              <a:gd name="connsiteY11" fmla="*/ 109450 h 267869"/>
              <a:gd name="connsiteX12" fmla="*/ 963104 w 1424741"/>
              <a:gd name="connsiteY12" fmla="*/ 20280 h 267869"/>
              <a:gd name="connsiteX13" fmla="*/ 1076593 w 1424741"/>
              <a:gd name="connsiteY13" fmla="*/ 101344 h 267869"/>
              <a:gd name="connsiteX14" fmla="*/ 1161710 w 1424741"/>
              <a:gd name="connsiteY14" fmla="*/ 20280 h 267869"/>
              <a:gd name="connsiteX15" fmla="*/ 1238721 w 1424741"/>
              <a:gd name="connsiteY15" fmla="*/ 109450 h 267869"/>
              <a:gd name="connsiteX16" fmla="*/ 1323838 w 1424741"/>
              <a:gd name="connsiteY16" fmla="*/ 16227 h 267869"/>
              <a:gd name="connsiteX17" fmla="*/ 1421115 w 1424741"/>
              <a:gd name="connsiteY17" fmla="*/ 142608 h 267869"/>
              <a:gd name="connsiteX18" fmla="*/ 1408954 w 1424741"/>
              <a:gd name="connsiteY18" fmla="*/ 267869 h 267869"/>
              <a:gd name="connsiteX0" fmla="*/ 6551 w 1426266"/>
              <a:gd name="connsiteY0" fmla="*/ 264181 h 267869"/>
              <a:gd name="connsiteX1" fmla="*/ 2498 w 1426266"/>
              <a:gd name="connsiteY1" fmla="*/ 109451 h 267869"/>
              <a:gd name="connsiteX2" fmla="*/ 59242 w 1426266"/>
              <a:gd name="connsiteY2" fmla="*/ 14 h 267869"/>
              <a:gd name="connsiteX3" fmla="*/ 144359 w 1426266"/>
              <a:gd name="connsiteY3" fmla="*/ 101344 h 267869"/>
              <a:gd name="connsiteX4" fmla="*/ 249742 w 1426266"/>
              <a:gd name="connsiteY4" fmla="*/ 12173 h 267869"/>
              <a:gd name="connsiteX5" fmla="*/ 351072 w 1426266"/>
              <a:gd name="connsiteY5" fmla="*/ 105397 h 267869"/>
              <a:gd name="connsiteX6" fmla="*/ 440242 w 1426266"/>
              <a:gd name="connsiteY6" fmla="*/ 16227 h 267869"/>
              <a:gd name="connsiteX7" fmla="*/ 541572 w 1426266"/>
              <a:gd name="connsiteY7" fmla="*/ 101344 h 267869"/>
              <a:gd name="connsiteX8" fmla="*/ 642902 w 1426266"/>
              <a:gd name="connsiteY8" fmla="*/ 12173 h 267869"/>
              <a:gd name="connsiteX9" fmla="*/ 707753 w 1426266"/>
              <a:gd name="connsiteY9" fmla="*/ 105397 h 267869"/>
              <a:gd name="connsiteX10" fmla="*/ 800976 w 1426266"/>
              <a:gd name="connsiteY10" fmla="*/ 16227 h 267869"/>
              <a:gd name="connsiteX11" fmla="*/ 898253 w 1426266"/>
              <a:gd name="connsiteY11" fmla="*/ 109450 h 267869"/>
              <a:gd name="connsiteX12" fmla="*/ 963104 w 1426266"/>
              <a:gd name="connsiteY12" fmla="*/ 20280 h 267869"/>
              <a:gd name="connsiteX13" fmla="*/ 1076593 w 1426266"/>
              <a:gd name="connsiteY13" fmla="*/ 101344 h 267869"/>
              <a:gd name="connsiteX14" fmla="*/ 1161710 w 1426266"/>
              <a:gd name="connsiteY14" fmla="*/ 20280 h 267869"/>
              <a:gd name="connsiteX15" fmla="*/ 1238721 w 1426266"/>
              <a:gd name="connsiteY15" fmla="*/ 109450 h 267869"/>
              <a:gd name="connsiteX16" fmla="*/ 1323838 w 1426266"/>
              <a:gd name="connsiteY16" fmla="*/ 16227 h 267869"/>
              <a:gd name="connsiteX17" fmla="*/ 1421115 w 1426266"/>
              <a:gd name="connsiteY17" fmla="*/ 142608 h 267869"/>
              <a:gd name="connsiteX18" fmla="*/ 1421110 w 1426266"/>
              <a:gd name="connsiteY18" fmla="*/ 267869 h 267869"/>
              <a:gd name="connsiteX0" fmla="*/ 6551 w 1421110"/>
              <a:gd name="connsiteY0" fmla="*/ 264181 h 267869"/>
              <a:gd name="connsiteX1" fmla="*/ 2498 w 1421110"/>
              <a:gd name="connsiteY1" fmla="*/ 109451 h 267869"/>
              <a:gd name="connsiteX2" fmla="*/ 59242 w 1421110"/>
              <a:gd name="connsiteY2" fmla="*/ 14 h 267869"/>
              <a:gd name="connsiteX3" fmla="*/ 144359 w 1421110"/>
              <a:gd name="connsiteY3" fmla="*/ 101344 h 267869"/>
              <a:gd name="connsiteX4" fmla="*/ 249742 w 1421110"/>
              <a:gd name="connsiteY4" fmla="*/ 12173 h 267869"/>
              <a:gd name="connsiteX5" fmla="*/ 351072 w 1421110"/>
              <a:gd name="connsiteY5" fmla="*/ 105397 h 267869"/>
              <a:gd name="connsiteX6" fmla="*/ 440242 w 1421110"/>
              <a:gd name="connsiteY6" fmla="*/ 16227 h 267869"/>
              <a:gd name="connsiteX7" fmla="*/ 541572 w 1421110"/>
              <a:gd name="connsiteY7" fmla="*/ 101344 h 267869"/>
              <a:gd name="connsiteX8" fmla="*/ 642902 w 1421110"/>
              <a:gd name="connsiteY8" fmla="*/ 12173 h 267869"/>
              <a:gd name="connsiteX9" fmla="*/ 707753 w 1421110"/>
              <a:gd name="connsiteY9" fmla="*/ 105397 h 267869"/>
              <a:gd name="connsiteX10" fmla="*/ 800976 w 1421110"/>
              <a:gd name="connsiteY10" fmla="*/ 16227 h 267869"/>
              <a:gd name="connsiteX11" fmla="*/ 898253 w 1421110"/>
              <a:gd name="connsiteY11" fmla="*/ 109450 h 267869"/>
              <a:gd name="connsiteX12" fmla="*/ 963104 w 1421110"/>
              <a:gd name="connsiteY12" fmla="*/ 20280 h 267869"/>
              <a:gd name="connsiteX13" fmla="*/ 1076593 w 1421110"/>
              <a:gd name="connsiteY13" fmla="*/ 101344 h 267869"/>
              <a:gd name="connsiteX14" fmla="*/ 1161710 w 1421110"/>
              <a:gd name="connsiteY14" fmla="*/ 20280 h 267869"/>
              <a:gd name="connsiteX15" fmla="*/ 1238721 w 1421110"/>
              <a:gd name="connsiteY15" fmla="*/ 109450 h 267869"/>
              <a:gd name="connsiteX16" fmla="*/ 1323838 w 1421110"/>
              <a:gd name="connsiteY16" fmla="*/ 16227 h 267869"/>
              <a:gd name="connsiteX17" fmla="*/ 1413010 w 1421110"/>
              <a:gd name="connsiteY17" fmla="*/ 150897 h 267869"/>
              <a:gd name="connsiteX18" fmla="*/ 1421110 w 1421110"/>
              <a:gd name="connsiteY18" fmla="*/ 267869 h 2678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1421110" h="267869">
                <a:moveTo>
                  <a:pt x="6551" y="264181"/>
                </a:moveTo>
                <a:cubicBezTo>
                  <a:pt x="11280" y="243919"/>
                  <a:pt x="-6284" y="153479"/>
                  <a:pt x="2498" y="109451"/>
                </a:cubicBezTo>
                <a:cubicBezTo>
                  <a:pt x="11280" y="65423"/>
                  <a:pt x="35599" y="1365"/>
                  <a:pt x="59242" y="14"/>
                </a:cubicBezTo>
                <a:cubicBezTo>
                  <a:pt x="82885" y="-1337"/>
                  <a:pt x="112609" y="99318"/>
                  <a:pt x="144359" y="101344"/>
                </a:cubicBezTo>
                <a:cubicBezTo>
                  <a:pt x="176109" y="103370"/>
                  <a:pt x="215290" y="11498"/>
                  <a:pt x="249742" y="12173"/>
                </a:cubicBezTo>
                <a:cubicBezTo>
                  <a:pt x="284194" y="12848"/>
                  <a:pt x="319322" y="104721"/>
                  <a:pt x="351072" y="105397"/>
                </a:cubicBezTo>
                <a:cubicBezTo>
                  <a:pt x="382822" y="106073"/>
                  <a:pt x="408492" y="16902"/>
                  <a:pt x="440242" y="16227"/>
                </a:cubicBezTo>
                <a:cubicBezTo>
                  <a:pt x="471992" y="15552"/>
                  <a:pt x="507795" y="102020"/>
                  <a:pt x="541572" y="101344"/>
                </a:cubicBezTo>
                <a:cubicBezTo>
                  <a:pt x="575349" y="100668"/>
                  <a:pt x="615205" y="11498"/>
                  <a:pt x="642902" y="12173"/>
                </a:cubicBezTo>
                <a:cubicBezTo>
                  <a:pt x="670599" y="12848"/>
                  <a:pt x="681407" y="104721"/>
                  <a:pt x="707753" y="105397"/>
                </a:cubicBezTo>
                <a:cubicBezTo>
                  <a:pt x="734099" y="106073"/>
                  <a:pt x="769226" y="15552"/>
                  <a:pt x="800976" y="16227"/>
                </a:cubicBezTo>
                <a:cubicBezTo>
                  <a:pt x="832726" y="16902"/>
                  <a:pt x="871232" y="108775"/>
                  <a:pt x="898253" y="109450"/>
                </a:cubicBezTo>
                <a:cubicBezTo>
                  <a:pt x="925274" y="110126"/>
                  <a:pt x="933381" y="21631"/>
                  <a:pt x="963104" y="20280"/>
                </a:cubicBezTo>
                <a:cubicBezTo>
                  <a:pt x="992827" y="18929"/>
                  <a:pt x="1043492" y="101344"/>
                  <a:pt x="1076593" y="101344"/>
                </a:cubicBezTo>
                <a:cubicBezTo>
                  <a:pt x="1109694" y="101344"/>
                  <a:pt x="1134689" y="18929"/>
                  <a:pt x="1161710" y="20280"/>
                </a:cubicBezTo>
                <a:cubicBezTo>
                  <a:pt x="1188731" y="21631"/>
                  <a:pt x="1211700" y="110126"/>
                  <a:pt x="1238721" y="109450"/>
                </a:cubicBezTo>
                <a:cubicBezTo>
                  <a:pt x="1265742" y="108775"/>
                  <a:pt x="1294790" y="9319"/>
                  <a:pt x="1323838" y="16227"/>
                </a:cubicBezTo>
                <a:cubicBezTo>
                  <a:pt x="1352886" y="23135"/>
                  <a:pt x="1398824" y="108957"/>
                  <a:pt x="1413010" y="150897"/>
                </a:cubicBezTo>
                <a:cubicBezTo>
                  <a:pt x="1427196" y="192837"/>
                  <a:pt x="1415031" y="253900"/>
                  <a:pt x="1421110" y="267869"/>
                </a:cubicBezTo>
              </a:path>
            </a:pathLst>
          </a:custGeom>
          <a:solidFill>
            <a:schemeClr val="bg1">
              <a:lumMod val="75000"/>
            </a:schemeClr>
          </a:solid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21" name="Freeform 720">
            <a:extLst>
              <a:ext uri="{FF2B5EF4-FFF2-40B4-BE49-F238E27FC236}">
                <a16:creationId xmlns:a16="http://schemas.microsoft.com/office/drawing/2014/main" id="{00000000-0008-0000-0300-0000D1020000}"/>
              </a:ext>
            </a:extLst>
          </xdr:cNvPr>
          <xdr:cNvSpPr/>
        </xdr:nvSpPr>
        <xdr:spPr>
          <a:xfrm>
            <a:off x="652660" y="7620000"/>
            <a:ext cx="1235999" cy="247421"/>
          </a:xfrm>
          <a:custGeom>
            <a:avLst/>
            <a:gdLst>
              <a:gd name="connsiteX0" fmla="*/ 0 w 1901927"/>
              <a:gd name="connsiteY0" fmla="*/ 310331 h 316476"/>
              <a:gd name="connsiteX1" fmla="*/ 0 w 1901927"/>
              <a:gd name="connsiteY1" fmla="*/ 193573 h 316476"/>
              <a:gd name="connsiteX2" fmla="*/ 344129 w 1901927"/>
              <a:gd name="connsiteY2" fmla="*/ 0 h 316476"/>
              <a:gd name="connsiteX3" fmla="*/ 1554726 w 1901927"/>
              <a:gd name="connsiteY3" fmla="*/ 0 h 316476"/>
              <a:gd name="connsiteX4" fmla="*/ 1748299 w 1901927"/>
              <a:gd name="connsiteY4" fmla="*/ 193573 h 316476"/>
              <a:gd name="connsiteX5" fmla="*/ 1898855 w 1901927"/>
              <a:gd name="connsiteY5" fmla="*/ 193573 h 316476"/>
              <a:gd name="connsiteX6" fmla="*/ 1898855 w 1901927"/>
              <a:gd name="connsiteY6" fmla="*/ 316476 h 316476"/>
              <a:gd name="connsiteX7" fmla="*/ 1901927 w 1901927"/>
              <a:gd name="connsiteY7" fmla="*/ 310331 h 316476"/>
              <a:gd name="connsiteX0" fmla="*/ 0 w 1901927"/>
              <a:gd name="connsiteY0" fmla="*/ 310331 h 316476"/>
              <a:gd name="connsiteX1" fmla="*/ 0 w 1901927"/>
              <a:gd name="connsiteY1" fmla="*/ 193573 h 316476"/>
              <a:gd name="connsiteX2" fmla="*/ 344129 w 1901927"/>
              <a:gd name="connsiteY2" fmla="*/ 0 h 316476"/>
              <a:gd name="connsiteX3" fmla="*/ 1554726 w 1901927"/>
              <a:gd name="connsiteY3" fmla="*/ 0 h 316476"/>
              <a:gd name="connsiteX4" fmla="*/ 1898855 w 1901927"/>
              <a:gd name="connsiteY4" fmla="*/ 193573 h 316476"/>
              <a:gd name="connsiteX5" fmla="*/ 1898855 w 1901927"/>
              <a:gd name="connsiteY5" fmla="*/ 316476 h 316476"/>
              <a:gd name="connsiteX6" fmla="*/ 1901927 w 1901927"/>
              <a:gd name="connsiteY6" fmla="*/ 310331 h 3164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901927" h="316476">
                <a:moveTo>
                  <a:pt x="0" y="310331"/>
                </a:moveTo>
                <a:lnTo>
                  <a:pt x="0" y="193573"/>
                </a:lnTo>
                <a:lnTo>
                  <a:pt x="344129" y="0"/>
                </a:lnTo>
                <a:lnTo>
                  <a:pt x="1554726" y="0"/>
                </a:lnTo>
                <a:lnTo>
                  <a:pt x="1898855" y="193573"/>
                </a:lnTo>
                <a:lnTo>
                  <a:pt x="1898855" y="316476"/>
                </a:lnTo>
                <a:lnTo>
                  <a:pt x="1901927" y="310331"/>
                </a:lnTo>
              </a:path>
            </a:pathLst>
          </a:cu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22" name="Rectangle 721">
            <a:extLst>
              <a:ext uri="{FF2B5EF4-FFF2-40B4-BE49-F238E27FC236}">
                <a16:creationId xmlns:a16="http://schemas.microsoft.com/office/drawing/2014/main" id="{00000000-0008-0000-0300-0000D2020000}"/>
              </a:ext>
            </a:extLst>
          </xdr:cNvPr>
          <xdr:cNvSpPr/>
        </xdr:nvSpPr>
        <xdr:spPr>
          <a:xfrm>
            <a:off x="987529" y="8375808"/>
            <a:ext cx="566262" cy="190634"/>
          </a:xfrm>
          <a:prstGeom prst="rect">
            <a:avLst/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23" name="Rectangle 722">
            <a:extLst>
              <a:ext uri="{FF2B5EF4-FFF2-40B4-BE49-F238E27FC236}">
                <a16:creationId xmlns:a16="http://schemas.microsoft.com/office/drawing/2014/main" id="{00000000-0008-0000-0300-0000D3020000}"/>
              </a:ext>
            </a:extLst>
          </xdr:cNvPr>
          <xdr:cNvSpPr/>
        </xdr:nvSpPr>
        <xdr:spPr>
          <a:xfrm>
            <a:off x="609600" y="7850840"/>
            <a:ext cx="1322118" cy="523237"/>
          </a:xfrm>
          <a:prstGeom prst="rect">
            <a:avLst/>
          </a:pr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24" name="TextBox 723">
            <a:extLst>
              <a:ext uri="{FF2B5EF4-FFF2-40B4-BE49-F238E27FC236}">
                <a16:creationId xmlns:a16="http://schemas.microsoft.com/office/drawing/2014/main" id="{00000000-0008-0000-0300-0000D4020000}"/>
              </a:ext>
            </a:extLst>
          </xdr:cNvPr>
          <xdr:cNvSpPr txBox="1"/>
        </xdr:nvSpPr>
        <xdr:spPr>
          <a:xfrm>
            <a:off x="798734" y="8066290"/>
            <a:ext cx="930095" cy="13850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spray</a:t>
            </a:r>
            <a:r>
              <a:rPr lang="en-GB" sz="800" baseline="0"/>
              <a:t> </a:t>
            </a:r>
            <a:r>
              <a:rPr lang="en-GB" sz="800"/>
              <a:t>condenser</a:t>
            </a:r>
          </a:p>
        </xdr:txBody>
      </xdr:sp>
      <xdr:cxnSp macro="">
        <xdr:nvCxnSpPr>
          <xdr:cNvPr id="725" name="Straight Connector 724">
            <a:extLst>
              <a:ext uri="{FF2B5EF4-FFF2-40B4-BE49-F238E27FC236}">
                <a16:creationId xmlns:a16="http://schemas.microsoft.com/office/drawing/2014/main" id="{00000000-0008-0000-0300-0000D5020000}"/>
              </a:ext>
            </a:extLst>
          </xdr:cNvPr>
          <xdr:cNvCxnSpPr/>
        </xdr:nvCxnSpPr>
        <xdr:spPr>
          <a:xfrm>
            <a:off x="743432" y="7943850"/>
            <a:ext cx="1186566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726" name="Group 725">
            <a:extLst>
              <a:ext uri="{FF2B5EF4-FFF2-40B4-BE49-F238E27FC236}">
                <a16:creationId xmlns:a16="http://schemas.microsoft.com/office/drawing/2014/main" id="{00000000-0008-0000-0300-0000D6020000}"/>
              </a:ext>
            </a:extLst>
          </xdr:cNvPr>
          <xdr:cNvGrpSpPr/>
        </xdr:nvGrpSpPr>
        <xdr:grpSpPr>
          <a:xfrm>
            <a:off x="693246" y="7947422"/>
            <a:ext cx="173264" cy="63102"/>
            <a:chOff x="7119938" y="11439524"/>
            <a:chExt cx="333371" cy="208359"/>
          </a:xfrm>
        </xdr:grpSpPr>
        <xdr:cxnSp macro="">
          <xdr:nvCxnSpPr>
            <xdr:cNvPr id="742" name="Straight Connector 741">
              <a:extLst>
                <a:ext uri="{FF2B5EF4-FFF2-40B4-BE49-F238E27FC236}">
                  <a16:creationId xmlns:a16="http://schemas.microsoft.com/office/drawing/2014/main" id="{00000000-0008-0000-0300-0000E6020000}"/>
                </a:ext>
              </a:extLst>
            </xdr:cNvPr>
            <xdr:cNvCxnSpPr/>
          </xdr:nvCxnSpPr>
          <xdr:spPr>
            <a:xfrm flipH="1">
              <a:off x="7119938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3" name="Straight Connector 742">
              <a:extLst>
                <a:ext uri="{FF2B5EF4-FFF2-40B4-BE49-F238E27FC236}">
                  <a16:creationId xmlns:a16="http://schemas.microsoft.com/office/drawing/2014/main" id="{00000000-0008-0000-0300-0000E7020000}"/>
                </a:ext>
              </a:extLst>
            </xdr:cNvPr>
            <xdr:cNvCxnSpPr/>
          </xdr:nvCxnSpPr>
          <xdr:spPr>
            <a:xfrm rot="-3600000" flipH="1">
              <a:off x="7239000" y="11469289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4" name="Straight Connector 743">
              <a:extLst>
                <a:ext uri="{FF2B5EF4-FFF2-40B4-BE49-F238E27FC236}">
                  <a16:creationId xmlns:a16="http://schemas.microsoft.com/office/drawing/2014/main" id="{00000000-0008-0000-0300-0000E8020000}"/>
                </a:ext>
              </a:extLst>
            </xdr:cNvPr>
            <xdr:cNvCxnSpPr/>
          </xdr:nvCxnSpPr>
          <xdr:spPr>
            <a:xfrm rot="-1800000" flipH="1">
              <a:off x="7173516" y="11481196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5" name="Straight Connector 744">
              <a:extLst>
                <a:ext uri="{FF2B5EF4-FFF2-40B4-BE49-F238E27FC236}">
                  <a16:creationId xmlns:a16="http://schemas.microsoft.com/office/drawing/2014/main" id="{00000000-0008-0000-0300-0000E9020000}"/>
                </a:ext>
              </a:extLst>
            </xdr:cNvPr>
            <xdr:cNvCxnSpPr/>
          </xdr:nvCxnSpPr>
          <xdr:spPr>
            <a:xfrm rot="5400000" flipH="1">
              <a:off x="7286622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27" name="Group 726">
            <a:extLst>
              <a:ext uri="{FF2B5EF4-FFF2-40B4-BE49-F238E27FC236}">
                <a16:creationId xmlns:a16="http://schemas.microsoft.com/office/drawing/2014/main" id="{00000000-0008-0000-0300-0000D7020000}"/>
              </a:ext>
            </a:extLst>
          </xdr:cNvPr>
          <xdr:cNvGrpSpPr/>
        </xdr:nvGrpSpPr>
        <xdr:grpSpPr>
          <a:xfrm>
            <a:off x="1688623" y="7947422"/>
            <a:ext cx="173264" cy="63102"/>
            <a:chOff x="7119938" y="11439524"/>
            <a:chExt cx="333371" cy="208359"/>
          </a:xfrm>
        </xdr:grpSpPr>
        <xdr:cxnSp macro="">
          <xdr:nvCxnSpPr>
            <xdr:cNvPr id="738" name="Straight Connector 737">
              <a:extLst>
                <a:ext uri="{FF2B5EF4-FFF2-40B4-BE49-F238E27FC236}">
                  <a16:creationId xmlns:a16="http://schemas.microsoft.com/office/drawing/2014/main" id="{00000000-0008-0000-0300-0000E2020000}"/>
                </a:ext>
              </a:extLst>
            </xdr:cNvPr>
            <xdr:cNvCxnSpPr/>
          </xdr:nvCxnSpPr>
          <xdr:spPr>
            <a:xfrm flipH="1">
              <a:off x="7119938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9" name="Straight Connector 738">
              <a:extLst>
                <a:ext uri="{FF2B5EF4-FFF2-40B4-BE49-F238E27FC236}">
                  <a16:creationId xmlns:a16="http://schemas.microsoft.com/office/drawing/2014/main" id="{00000000-0008-0000-0300-0000E3020000}"/>
                </a:ext>
              </a:extLst>
            </xdr:cNvPr>
            <xdr:cNvCxnSpPr/>
          </xdr:nvCxnSpPr>
          <xdr:spPr>
            <a:xfrm rot="-3600000" flipH="1">
              <a:off x="7239000" y="11469289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0" name="Straight Connector 739">
              <a:extLst>
                <a:ext uri="{FF2B5EF4-FFF2-40B4-BE49-F238E27FC236}">
                  <a16:creationId xmlns:a16="http://schemas.microsoft.com/office/drawing/2014/main" id="{00000000-0008-0000-0300-0000E4020000}"/>
                </a:ext>
              </a:extLst>
            </xdr:cNvPr>
            <xdr:cNvCxnSpPr/>
          </xdr:nvCxnSpPr>
          <xdr:spPr>
            <a:xfrm rot="-1800000" flipH="1">
              <a:off x="7173516" y="11481196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1" name="Straight Connector 740">
              <a:extLst>
                <a:ext uri="{FF2B5EF4-FFF2-40B4-BE49-F238E27FC236}">
                  <a16:creationId xmlns:a16="http://schemas.microsoft.com/office/drawing/2014/main" id="{00000000-0008-0000-0300-0000E5020000}"/>
                </a:ext>
              </a:extLst>
            </xdr:cNvPr>
            <xdr:cNvCxnSpPr/>
          </xdr:nvCxnSpPr>
          <xdr:spPr>
            <a:xfrm rot="5400000" flipH="1">
              <a:off x="7286622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28" name="Group 727">
            <a:extLst>
              <a:ext uri="{FF2B5EF4-FFF2-40B4-BE49-F238E27FC236}">
                <a16:creationId xmlns:a16="http://schemas.microsoft.com/office/drawing/2014/main" id="{00000000-0008-0000-0300-0000D8020000}"/>
              </a:ext>
            </a:extLst>
          </xdr:cNvPr>
          <xdr:cNvGrpSpPr/>
        </xdr:nvGrpSpPr>
        <xdr:grpSpPr>
          <a:xfrm>
            <a:off x="1356831" y="7947422"/>
            <a:ext cx="173264" cy="63102"/>
            <a:chOff x="7119938" y="11439524"/>
            <a:chExt cx="333371" cy="208359"/>
          </a:xfrm>
        </xdr:grpSpPr>
        <xdr:cxnSp macro="">
          <xdr:nvCxnSpPr>
            <xdr:cNvPr id="734" name="Straight Connector 733">
              <a:extLst>
                <a:ext uri="{FF2B5EF4-FFF2-40B4-BE49-F238E27FC236}">
                  <a16:creationId xmlns:a16="http://schemas.microsoft.com/office/drawing/2014/main" id="{00000000-0008-0000-0300-0000DE020000}"/>
                </a:ext>
              </a:extLst>
            </xdr:cNvPr>
            <xdr:cNvCxnSpPr/>
          </xdr:nvCxnSpPr>
          <xdr:spPr>
            <a:xfrm flipH="1">
              <a:off x="7119938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5" name="Straight Connector 734">
              <a:extLst>
                <a:ext uri="{FF2B5EF4-FFF2-40B4-BE49-F238E27FC236}">
                  <a16:creationId xmlns:a16="http://schemas.microsoft.com/office/drawing/2014/main" id="{00000000-0008-0000-0300-0000DF020000}"/>
                </a:ext>
              </a:extLst>
            </xdr:cNvPr>
            <xdr:cNvCxnSpPr/>
          </xdr:nvCxnSpPr>
          <xdr:spPr>
            <a:xfrm rot="-3600000" flipH="1">
              <a:off x="7239000" y="11469289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6" name="Straight Connector 735">
              <a:extLst>
                <a:ext uri="{FF2B5EF4-FFF2-40B4-BE49-F238E27FC236}">
                  <a16:creationId xmlns:a16="http://schemas.microsoft.com/office/drawing/2014/main" id="{00000000-0008-0000-0300-0000E0020000}"/>
                </a:ext>
              </a:extLst>
            </xdr:cNvPr>
            <xdr:cNvCxnSpPr/>
          </xdr:nvCxnSpPr>
          <xdr:spPr>
            <a:xfrm rot="-1800000" flipH="1">
              <a:off x="7173516" y="11481196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7" name="Straight Connector 736">
              <a:extLst>
                <a:ext uri="{FF2B5EF4-FFF2-40B4-BE49-F238E27FC236}">
                  <a16:creationId xmlns:a16="http://schemas.microsoft.com/office/drawing/2014/main" id="{00000000-0008-0000-0300-0000E1020000}"/>
                </a:ext>
              </a:extLst>
            </xdr:cNvPr>
            <xdr:cNvCxnSpPr/>
          </xdr:nvCxnSpPr>
          <xdr:spPr>
            <a:xfrm rot="5400000" flipH="1">
              <a:off x="7286622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29" name="Group 728">
            <a:extLst>
              <a:ext uri="{FF2B5EF4-FFF2-40B4-BE49-F238E27FC236}">
                <a16:creationId xmlns:a16="http://schemas.microsoft.com/office/drawing/2014/main" id="{00000000-0008-0000-0300-0000D9020000}"/>
              </a:ext>
            </a:extLst>
          </xdr:cNvPr>
          <xdr:cNvGrpSpPr/>
        </xdr:nvGrpSpPr>
        <xdr:grpSpPr>
          <a:xfrm>
            <a:off x="1025039" y="7947422"/>
            <a:ext cx="173264" cy="63102"/>
            <a:chOff x="7119938" y="11439524"/>
            <a:chExt cx="333371" cy="208359"/>
          </a:xfrm>
        </xdr:grpSpPr>
        <xdr:cxnSp macro="">
          <xdr:nvCxnSpPr>
            <xdr:cNvPr id="730" name="Straight Connector 729">
              <a:extLst>
                <a:ext uri="{FF2B5EF4-FFF2-40B4-BE49-F238E27FC236}">
                  <a16:creationId xmlns:a16="http://schemas.microsoft.com/office/drawing/2014/main" id="{00000000-0008-0000-0300-0000DA020000}"/>
                </a:ext>
              </a:extLst>
            </xdr:cNvPr>
            <xdr:cNvCxnSpPr/>
          </xdr:nvCxnSpPr>
          <xdr:spPr>
            <a:xfrm flipH="1">
              <a:off x="7119938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1" name="Straight Connector 730">
              <a:extLst>
                <a:ext uri="{FF2B5EF4-FFF2-40B4-BE49-F238E27FC236}">
                  <a16:creationId xmlns:a16="http://schemas.microsoft.com/office/drawing/2014/main" id="{00000000-0008-0000-0300-0000DB020000}"/>
                </a:ext>
              </a:extLst>
            </xdr:cNvPr>
            <xdr:cNvCxnSpPr/>
          </xdr:nvCxnSpPr>
          <xdr:spPr>
            <a:xfrm rot="-3600000" flipH="1">
              <a:off x="7239000" y="11469289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2" name="Straight Connector 731">
              <a:extLst>
                <a:ext uri="{FF2B5EF4-FFF2-40B4-BE49-F238E27FC236}">
                  <a16:creationId xmlns:a16="http://schemas.microsoft.com/office/drawing/2014/main" id="{00000000-0008-0000-0300-0000DC020000}"/>
                </a:ext>
              </a:extLst>
            </xdr:cNvPr>
            <xdr:cNvCxnSpPr/>
          </xdr:nvCxnSpPr>
          <xdr:spPr>
            <a:xfrm rot="-1800000" flipH="1">
              <a:off x="7173516" y="11481196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3" name="Straight Connector 732">
              <a:extLst>
                <a:ext uri="{FF2B5EF4-FFF2-40B4-BE49-F238E27FC236}">
                  <a16:creationId xmlns:a16="http://schemas.microsoft.com/office/drawing/2014/main" id="{00000000-0008-0000-0300-0000DD020000}"/>
                </a:ext>
              </a:extLst>
            </xdr:cNvPr>
            <xdr:cNvCxnSpPr/>
          </xdr:nvCxnSpPr>
          <xdr:spPr>
            <a:xfrm rot="5400000" flipH="1">
              <a:off x="7286622" y="11439524"/>
              <a:ext cx="166687" cy="16668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15</xdr:col>
      <xdr:colOff>219808</xdr:colOff>
      <xdr:row>108</xdr:row>
      <xdr:rowOff>74882</xdr:rowOff>
    </xdr:from>
    <xdr:to>
      <xdr:col>22</xdr:col>
      <xdr:colOff>124080</xdr:colOff>
      <xdr:row>117</xdr:row>
      <xdr:rowOff>37026</xdr:rowOff>
    </xdr:to>
    <xdr:grpSp>
      <xdr:nvGrpSpPr>
        <xdr:cNvPr id="746" name="cooling pond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GrpSpPr/>
      </xdr:nvGrpSpPr>
      <xdr:grpSpPr>
        <a:xfrm flipH="1">
          <a:off x="5201383" y="17877107"/>
          <a:ext cx="1561622" cy="1562344"/>
          <a:chOff x="7290242" y="4823167"/>
          <a:chExt cx="1558305" cy="662026"/>
        </a:xfrm>
      </xdr:grpSpPr>
      <xdr:cxnSp macro="">
        <xdr:nvCxnSpPr>
          <xdr:cNvPr id="747" name="Straight Arrow Connector 746">
            <a:extLst>
              <a:ext uri="{FF2B5EF4-FFF2-40B4-BE49-F238E27FC236}">
                <a16:creationId xmlns:a16="http://schemas.microsoft.com/office/drawing/2014/main" id="{00000000-0008-0000-0300-0000EB020000}"/>
              </a:ext>
            </a:extLst>
          </xdr:cNvPr>
          <xdr:cNvCxnSpPr/>
        </xdr:nvCxnSpPr>
        <xdr:spPr>
          <a:xfrm flipH="1" flipV="1">
            <a:off x="8659991" y="5238894"/>
            <a:ext cx="188556" cy="164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748" name="Group 747">
            <a:extLst>
              <a:ext uri="{FF2B5EF4-FFF2-40B4-BE49-F238E27FC236}">
                <a16:creationId xmlns:a16="http://schemas.microsoft.com/office/drawing/2014/main" id="{00000000-0008-0000-0300-0000EC020000}"/>
              </a:ext>
            </a:extLst>
          </xdr:cNvPr>
          <xdr:cNvGrpSpPr/>
        </xdr:nvGrpSpPr>
        <xdr:grpSpPr>
          <a:xfrm>
            <a:off x="7290242" y="5191604"/>
            <a:ext cx="1423151" cy="293589"/>
            <a:chOff x="3609975" y="4810125"/>
            <a:chExt cx="1764000" cy="363426"/>
          </a:xfrm>
        </xdr:grpSpPr>
        <xdr:cxnSp macro="">
          <xdr:nvCxnSpPr>
            <xdr:cNvPr id="761" name="Straight Connector 760">
              <a:extLst>
                <a:ext uri="{FF2B5EF4-FFF2-40B4-BE49-F238E27FC236}">
                  <a16:creationId xmlns:a16="http://schemas.microsoft.com/office/drawing/2014/main" id="{00000000-0008-0000-0300-0000F9020000}"/>
                </a:ext>
              </a:extLst>
            </xdr:cNvPr>
            <xdr:cNvCxnSpPr/>
          </xdr:nvCxnSpPr>
          <xdr:spPr>
            <a:xfrm>
              <a:off x="3609975" y="4867275"/>
              <a:ext cx="1764000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62" name="Freeform 761">
              <a:extLst>
                <a:ext uri="{FF2B5EF4-FFF2-40B4-BE49-F238E27FC236}">
                  <a16:creationId xmlns:a16="http://schemas.microsoft.com/office/drawing/2014/main" id="{00000000-0008-0000-0300-0000FA020000}"/>
                </a:ext>
              </a:extLst>
            </xdr:cNvPr>
            <xdr:cNvSpPr/>
          </xdr:nvSpPr>
          <xdr:spPr>
            <a:xfrm>
              <a:off x="3733800" y="4810125"/>
              <a:ext cx="1512000" cy="104776"/>
            </a:xfrm>
            <a:custGeom>
              <a:avLst/>
              <a:gdLst>
                <a:gd name="connsiteX0" fmla="*/ 0 w 1410510"/>
                <a:gd name="connsiteY0" fmla="*/ 50247 h 111048"/>
                <a:gd name="connsiteX1" fmla="*/ 52691 w 1410510"/>
                <a:gd name="connsiteY1" fmla="*/ 1609 h 111048"/>
                <a:gd name="connsiteX2" fmla="*/ 137808 w 1410510"/>
                <a:gd name="connsiteY2" fmla="*/ 102939 h 111048"/>
                <a:gd name="connsiteX3" fmla="*/ 243191 w 1410510"/>
                <a:gd name="connsiteY3" fmla="*/ 13768 h 111048"/>
                <a:gd name="connsiteX4" fmla="*/ 344521 w 1410510"/>
                <a:gd name="connsiteY4" fmla="*/ 106992 h 111048"/>
                <a:gd name="connsiteX5" fmla="*/ 433691 w 1410510"/>
                <a:gd name="connsiteY5" fmla="*/ 17822 h 111048"/>
                <a:gd name="connsiteX6" fmla="*/ 535021 w 1410510"/>
                <a:gd name="connsiteY6" fmla="*/ 102939 h 111048"/>
                <a:gd name="connsiteX7" fmla="*/ 636351 w 1410510"/>
                <a:gd name="connsiteY7" fmla="*/ 13768 h 111048"/>
                <a:gd name="connsiteX8" fmla="*/ 701202 w 1410510"/>
                <a:gd name="connsiteY8" fmla="*/ 106992 h 111048"/>
                <a:gd name="connsiteX9" fmla="*/ 794425 w 1410510"/>
                <a:gd name="connsiteY9" fmla="*/ 17822 h 111048"/>
                <a:gd name="connsiteX10" fmla="*/ 891702 w 1410510"/>
                <a:gd name="connsiteY10" fmla="*/ 111045 h 111048"/>
                <a:gd name="connsiteX11" fmla="*/ 956553 w 1410510"/>
                <a:gd name="connsiteY11" fmla="*/ 21875 h 111048"/>
                <a:gd name="connsiteX12" fmla="*/ 1070042 w 1410510"/>
                <a:gd name="connsiteY12" fmla="*/ 102939 h 111048"/>
                <a:gd name="connsiteX13" fmla="*/ 1155159 w 1410510"/>
                <a:gd name="connsiteY13" fmla="*/ 21875 h 111048"/>
                <a:gd name="connsiteX14" fmla="*/ 1232170 w 1410510"/>
                <a:gd name="connsiteY14" fmla="*/ 111045 h 111048"/>
                <a:gd name="connsiteX15" fmla="*/ 1317287 w 1410510"/>
                <a:gd name="connsiteY15" fmla="*/ 17822 h 111048"/>
                <a:gd name="connsiteX16" fmla="*/ 1410510 w 1410510"/>
                <a:gd name="connsiteY16" fmla="*/ 70513 h 111048"/>
                <a:gd name="connsiteX0" fmla="*/ 0 w 1418616"/>
                <a:gd name="connsiteY0" fmla="*/ 50247 h 128541"/>
                <a:gd name="connsiteX1" fmla="*/ 52691 w 1418616"/>
                <a:gd name="connsiteY1" fmla="*/ 1609 h 128541"/>
                <a:gd name="connsiteX2" fmla="*/ 137808 w 1418616"/>
                <a:gd name="connsiteY2" fmla="*/ 102939 h 128541"/>
                <a:gd name="connsiteX3" fmla="*/ 243191 w 1418616"/>
                <a:gd name="connsiteY3" fmla="*/ 13768 h 128541"/>
                <a:gd name="connsiteX4" fmla="*/ 344521 w 1418616"/>
                <a:gd name="connsiteY4" fmla="*/ 106992 h 128541"/>
                <a:gd name="connsiteX5" fmla="*/ 433691 w 1418616"/>
                <a:gd name="connsiteY5" fmla="*/ 17822 h 128541"/>
                <a:gd name="connsiteX6" fmla="*/ 535021 w 1418616"/>
                <a:gd name="connsiteY6" fmla="*/ 102939 h 128541"/>
                <a:gd name="connsiteX7" fmla="*/ 636351 w 1418616"/>
                <a:gd name="connsiteY7" fmla="*/ 13768 h 128541"/>
                <a:gd name="connsiteX8" fmla="*/ 701202 w 1418616"/>
                <a:gd name="connsiteY8" fmla="*/ 106992 h 128541"/>
                <a:gd name="connsiteX9" fmla="*/ 794425 w 1418616"/>
                <a:gd name="connsiteY9" fmla="*/ 17822 h 128541"/>
                <a:gd name="connsiteX10" fmla="*/ 891702 w 1418616"/>
                <a:gd name="connsiteY10" fmla="*/ 111045 h 128541"/>
                <a:gd name="connsiteX11" fmla="*/ 956553 w 1418616"/>
                <a:gd name="connsiteY11" fmla="*/ 21875 h 128541"/>
                <a:gd name="connsiteX12" fmla="*/ 1070042 w 1418616"/>
                <a:gd name="connsiteY12" fmla="*/ 102939 h 128541"/>
                <a:gd name="connsiteX13" fmla="*/ 1155159 w 1418616"/>
                <a:gd name="connsiteY13" fmla="*/ 21875 h 128541"/>
                <a:gd name="connsiteX14" fmla="*/ 1232170 w 1418616"/>
                <a:gd name="connsiteY14" fmla="*/ 111045 h 128541"/>
                <a:gd name="connsiteX15" fmla="*/ 1317287 w 1418616"/>
                <a:gd name="connsiteY15" fmla="*/ 17822 h 128541"/>
                <a:gd name="connsiteX16" fmla="*/ 1418616 w 1418616"/>
                <a:gd name="connsiteY16" fmla="*/ 128541 h 128541"/>
                <a:gd name="connsiteX0" fmla="*/ 0 w 1418616"/>
                <a:gd name="connsiteY0" fmla="*/ 267983 h 267983"/>
                <a:gd name="connsiteX1" fmla="*/ 52691 w 1418616"/>
                <a:gd name="connsiteY1" fmla="*/ 3816 h 267983"/>
                <a:gd name="connsiteX2" fmla="*/ 137808 w 1418616"/>
                <a:gd name="connsiteY2" fmla="*/ 105146 h 267983"/>
                <a:gd name="connsiteX3" fmla="*/ 243191 w 1418616"/>
                <a:gd name="connsiteY3" fmla="*/ 15975 h 267983"/>
                <a:gd name="connsiteX4" fmla="*/ 344521 w 1418616"/>
                <a:gd name="connsiteY4" fmla="*/ 109199 h 267983"/>
                <a:gd name="connsiteX5" fmla="*/ 433691 w 1418616"/>
                <a:gd name="connsiteY5" fmla="*/ 20029 h 267983"/>
                <a:gd name="connsiteX6" fmla="*/ 535021 w 1418616"/>
                <a:gd name="connsiteY6" fmla="*/ 105146 h 267983"/>
                <a:gd name="connsiteX7" fmla="*/ 636351 w 1418616"/>
                <a:gd name="connsiteY7" fmla="*/ 15975 h 267983"/>
                <a:gd name="connsiteX8" fmla="*/ 701202 w 1418616"/>
                <a:gd name="connsiteY8" fmla="*/ 109199 h 267983"/>
                <a:gd name="connsiteX9" fmla="*/ 794425 w 1418616"/>
                <a:gd name="connsiteY9" fmla="*/ 20029 h 267983"/>
                <a:gd name="connsiteX10" fmla="*/ 891702 w 1418616"/>
                <a:gd name="connsiteY10" fmla="*/ 113252 h 267983"/>
                <a:gd name="connsiteX11" fmla="*/ 956553 w 1418616"/>
                <a:gd name="connsiteY11" fmla="*/ 24082 h 267983"/>
                <a:gd name="connsiteX12" fmla="*/ 1070042 w 1418616"/>
                <a:gd name="connsiteY12" fmla="*/ 105146 h 267983"/>
                <a:gd name="connsiteX13" fmla="*/ 1155159 w 1418616"/>
                <a:gd name="connsiteY13" fmla="*/ 24082 h 267983"/>
                <a:gd name="connsiteX14" fmla="*/ 1232170 w 1418616"/>
                <a:gd name="connsiteY14" fmla="*/ 113252 h 267983"/>
                <a:gd name="connsiteX15" fmla="*/ 1317287 w 1418616"/>
                <a:gd name="connsiteY15" fmla="*/ 20029 h 267983"/>
                <a:gd name="connsiteX16" fmla="*/ 1418616 w 1418616"/>
                <a:gd name="connsiteY16" fmla="*/ 130748 h 267983"/>
                <a:gd name="connsiteX0" fmla="*/ 0 w 1418616"/>
                <a:gd name="connsiteY0" fmla="*/ 264488 h 264488"/>
                <a:gd name="connsiteX1" fmla="*/ 28372 w 1418616"/>
                <a:gd name="connsiteY1" fmla="*/ 142917 h 264488"/>
                <a:gd name="connsiteX2" fmla="*/ 52691 w 1418616"/>
                <a:gd name="connsiteY2" fmla="*/ 321 h 264488"/>
                <a:gd name="connsiteX3" fmla="*/ 137808 w 1418616"/>
                <a:gd name="connsiteY3" fmla="*/ 101651 h 264488"/>
                <a:gd name="connsiteX4" fmla="*/ 243191 w 1418616"/>
                <a:gd name="connsiteY4" fmla="*/ 12480 h 264488"/>
                <a:gd name="connsiteX5" fmla="*/ 344521 w 1418616"/>
                <a:gd name="connsiteY5" fmla="*/ 105704 h 264488"/>
                <a:gd name="connsiteX6" fmla="*/ 433691 w 1418616"/>
                <a:gd name="connsiteY6" fmla="*/ 16534 h 264488"/>
                <a:gd name="connsiteX7" fmla="*/ 535021 w 1418616"/>
                <a:gd name="connsiteY7" fmla="*/ 101651 h 264488"/>
                <a:gd name="connsiteX8" fmla="*/ 636351 w 1418616"/>
                <a:gd name="connsiteY8" fmla="*/ 12480 h 264488"/>
                <a:gd name="connsiteX9" fmla="*/ 701202 w 1418616"/>
                <a:gd name="connsiteY9" fmla="*/ 105704 h 264488"/>
                <a:gd name="connsiteX10" fmla="*/ 794425 w 1418616"/>
                <a:gd name="connsiteY10" fmla="*/ 16534 h 264488"/>
                <a:gd name="connsiteX11" fmla="*/ 891702 w 1418616"/>
                <a:gd name="connsiteY11" fmla="*/ 109757 h 264488"/>
                <a:gd name="connsiteX12" fmla="*/ 956553 w 1418616"/>
                <a:gd name="connsiteY12" fmla="*/ 20587 h 264488"/>
                <a:gd name="connsiteX13" fmla="*/ 1070042 w 1418616"/>
                <a:gd name="connsiteY13" fmla="*/ 101651 h 264488"/>
                <a:gd name="connsiteX14" fmla="*/ 1155159 w 1418616"/>
                <a:gd name="connsiteY14" fmla="*/ 20587 h 264488"/>
                <a:gd name="connsiteX15" fmla="*/ 1232170 w 1418616"/>
                <a:gd name="connsiteY15" fmla="*/ 109757 h 264488"/>
                <a:gd name="connsiteX16" fmla="*/ 1317287 w 1418616"/>
                <a:gd name="connsiteY16" fmla="*/ 16534 h 264488"/>
                <a:gd name="connsiteX17" fmla="*/ 1418616 w 1418616"/>
                <a:gd name="connsiteY17" fmla="*/ 127253 h 264488"/>
                <a:gd name="connsiteX0" fmla="*/ 6551 w 1425167"/>
                <a:gd name="connsiteY0" fmla="*/ 264181 h 264181"/>
                <a:gd name="connsiteX1" fmla="*/ 2498 w 1425167"/>
                <a:gd name="connsiteY1" fmla="*/ 109451 h 264181"/>
                <a:gd name="connsiteX2" fmla="*/ 59242 w 1425167"/>
                <a:gd name="connsiteY2" fmla="*/ 14 h 264181"/>
                <a:gd name="connsiteX3" fmla="*/ 144359 w 1425167"/>
                <a:gd name="connsiteY3" fmla="*/ 101344 h 264181"/>
                <a:gd name="connsiteX4" fmla="*/ 249742 w 1425167"/>
                <a:gd name="connsiteY4" fmla="*/ 12173 h 264181"/>
                <a:gd name="connsiteX5" fmla="*/ 351072 w 1425167"/>
                <a:gd name="connsiteY5" fmla="*/ 105397 h 264181"/>
                <a:gd name="connsiteX6" fmla="*/ 440242 w 1425167"/>
                <a:gd name="connsiteY6" fmla="*/ 16227 h 264181"/>
                <a:gd name="connsiteX7" fmla="*/ 541572 w 1425167"/>
                <a:gd name="connsiteY7" fmla="*/ 101344 h 264181"/>
                <a:gd name="connsiteX8" fmla="*/ 642902 w 1425167"/>
                <a:gd name="connsiteY8" fmla="*/ 12173 h 264181"/>
                <a:gd name="connsiteX9" fmla="*/ 707753 w 1425167"/>
                <a:gd name="connsiteY9" fmla="*/ 105397 h 264181"/>
                <a:gd name="connsiteX10" fmla="*/ 800976 w 1425167"/>
                <a:gd name="connsiteY10" fmla="*/ 16227 h 264181"/>
                <a:gd name="connsiteX11" fmla="*/ 898253 w 1425167"/>
                <a:gd name="connsiteY11" fmla="*/ 109450 h 264181"/>
                <a:gd name="connsiteX12" fmla="*/ 963104 w 1425167"/>
                <a:gd name="connsiteY12" fmla="*/ 20280 h 264181"/>
                <a:gd name="connsiteX13" fmla="*/ 1076593 w 1425167"/>
                <a:gd name="connsiteY13" fmla="*/ 101344 h 264181"/>
                <a:gd name="connsiteX14" fmla="*/ 1161710 w 1425167"/>
                <a:gd name="connsiteY14" fmla="*/ 20280 h 264181"/>
                <a:gd name="connsiteX15" fmla="*/ 1238721 w 1425167"/>
                <a:gd name="connsiteY15" fmla="*/ 109450 h 264181"/>
                <a:gd name="connsiteX16" fmla="*/ 1323838 w 1425167"/>
                <a:gd name="connsiteY16" fmla="*/ 16227 h 264181"/>
                <a:gd name="connsiteX17" fmla="*/ 1425167 w 1425167"/>
                <a:gd name="connsiteY17" fmla="*/ 126946 h 264181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408954 w 1408954"/>
                <a:gd name="connsiteY17" fmla="*/ 267869 h 267869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372477 w 1408954"/>
                <a:gd name="connsiteY17" fmla="*/ 184056 h 267869"/>
                <a:gd name="connsiteX18" fmla="*/ 1408954 w 1408954"/>
                <a:gd name="connsiteY18" fmla="*/ 267869 h 267869"/>
                <a:gd name="connsiteX0" fmla="*/ 6551 w 1424741"/>
                <a:gd name="connsiteY0" fmla="*/ 264181 h 267869"/>
                <a:gd name="connsiteX1" fmla="*/ 2498 w 1424741"/>
                <a:gd name="connsiteY1" fmla="*/ 109451 h 267869"/>
                <a:gd name="connsiteX2" fmla="*/ 59242 w 1424741"/>
                <a:gd name="connsiteY2" fmla="*/ 14 h 267869"/>
                <a:gd name="connsiteX3" fmla="*/ 144359 w 1424741"/>
                <a:gd name="connsiteY3" fmla="*/ 101344 h 267869"/>
                <a:gd name="connsiteX4" fmla="*/ 249742 w 1424741"/>
                <a:gd name="connsiteY4" fmla="*/ 12173 h 267869"/>
                <a:gd name="connsiteX5" fmla="*/ 351072 w 1424741"/>
                <a:gd name="connsiteY5" fmla="*/ 105397 h 267869"/>
                <a:gd name="connsiteX6" fmla="*/ 440242 w 1424741"/>
                <a:gd name="connsiteY6" fmla="*/ 16227 h 267869"/>
                <a:gd name="connsiteX7" fmla="*/ 541572 w 1424741"/>
                <a:gd name="connsiteY7" fmla="*/ 101344 h 267869"/>
                <a:gd name="connsiteX8" fmla="*/ 642902 w 1424741"/>
                <a:gd name="connsiteY8" fmla="*/ 12173 h 267869"/>
                <a:gd name="connsiteX9" fmla="*/ 707753 w 1424741"/>
                <a:gd name="connsiteY9" fmla="*/ 105397 h 267869"/>
                <a:gd name="connsiteX10" fmla="*/ 800976 w 1424741"/>
                <a:gd name="connsiteY10" fmla="*/ 16227 h 267869"/>
                <a:gd name="connsiteX11" fmla="*/ 898253 w 1424741"/>
                <a:gd name="connsiteY11" fmla="*/ 109450 h 267869"/>
                <a:gd name="connsiteX12" fmla="*/ 963104 w 1424741"/>
                <a:gd name="connsiteY12" fmla="*/ 20280 h 267869"/>
                <a:gd name="connsiteX13" fmla="*/ 1076593 w 1424741"/>
                <a:gd name="connsiteY13" fmla="*/ 101344 h 267869"/>
                <a:gd name="connsiteX14" fmla="*/ 1161710 w 1424741"/>
                <a:gd name="connsiteY14" fmla="*/ 20280 h 267869"/>
                <a:gd name="connsiteX15" fmla="*/ 1238721 w 1424741"/>
                <a:gd name="connsiteY15" fmla="*/ 109450 h 267869"/>
                <a:gd name="connsiteX16" fmla="*/ 1323838 w 1424741"/>
                <a:gd name="connsiteY16" fmla="*/ 16227 h 267869"/>
                <a:gd name="connsiteX17" fmla="*/ 1421115 w 1424741"/>
                <a:gd name="connsiteY17" fmla="*/ 142608 h 267869"/>
                <a:gd name="connsiteX18" fmla="*/ 1408954 w 1424741"/>
                <a:gd name="connsiteY18" fmla="*/ 267869 h 267869"/>
                <a:gd name="connsiteX0" fmla="*/ 6551 w 1426266"/>
                <a:gd name="connsiteY0" fmla="*/ 264181 h 267869"/>
                <a:gd name="connsiteX1" fmla="*/ 2498 w 1426266"/>
                <a:gd name="connsiteY1" fmla="*/ 109451 h 267869"/>
                <a:gd name="connsiteX2" fmla="*/ 59242 w 1426266"/>
                <a:gd name="connsiteY2" fmla="*/ 14 h 267869"/>
                <a:gd name="connsiteX3" fmla="*/ 144359 w 1426266"/>
                <a:gd name="connsiteY3" fmla="*/ 101344 h 267869"/>
                <a:gd name="connsiteX4" fmla="*/ 249742 w 1426266"/>
                <a:gd name="connsiteY4" fmla="*/ 12173 h 267869"/>
                <a:gd name="connsiteX5" fmla="*/ 351072 w 1426266"/>
                <a:gd name="connsiteY5" fmla="*/ 105397 h 267869"/>
                <a:gd name="connsiteX6" fmla="*/ 440242 w 1426266"/>
                <a:gd name="connsiteY6" fmla="*/ 16227 h 267869"/>
                <a:gd name="connsiteX7" fmla="*/ 541572 w 1426266"/>
                <a:gd name="connsiteY7" fmla="*/ 101344 h 267869"/>
                <a:gd name="connsiteX8" fmla="*/ 642902 w 1426266"/>
                <a:gd name="connsiteY8" fmla="*/ 12173 h 267869"/>
                <a:gd name="connsiteX9" fmla="*/ 707753 w 1426266"/>
                <a:gd name="connsiteY9" fmla="*/ 105397 h 267869"/>
                <a:gd name="connsiteX10" fmla="*/ 800976 w 1426266"/>
                <a:gd name="connsiteY10" fmla="*/ 16227 h 267869"/>
                <a:gd name="connsiteX11" fmla="*/ 898253 w 1426266"/>
                <a:gd name="connsiteY11" fmla="*/ 109450 h 267869"/>
                <a:gd name="connsiteX12" fmla="*/ 963104 w 1426266"/>
                <a:gd name="connsiteY12" fmla="*/ 20280 h 267869"/>
                <a:gd name="connsiteX13" fmla="*/ 1076593 w 1426266"/>
                <a:gd name="connsiteY13" fmla="*/ 101344 h 267869"/>
                <a:gd name="connsiteX14" fmla="*/ 1161710 w 1426266"/>
                <a:gd name="connsiteY14" fmla="*/ 20280 h 267869"/>
                <a:gd name="connsiteX15" fmla="*/ 1238721 w 1426266"/>
                <a:gd name="connsiteY15" fmla="*/ 109450 h 267869"/>
                <a:gd name="connsiteX16" fmla="*/ 1323838 w 1426266"/>
                <a:gd name="connsiteY16" fmla="*/ 16227 h 267869"/>
                <a:gd name="connsiteX17" fmla="*/ 1421115 w 1426266"/>
                <a:gd name="connsiteY17" fmla="*/ 142608 h 267869"/>
                <a:gd name="connsiteX18" fmla="*/ 1421110 w 1426266"/>
                <a:gd name="connsiteY18" fmla="*/ 267869 h 267869"/>
                <a:gd name="connsiteX0" fmla="*/ 6551 w 1421110"/>
                <a:gd name="connsiteY0" fmla="*/ 264181 h 267869"/>
                <a:gd name="connsiteX1" fmla="*/ 2498 w 1421110"/>
                <a:gd name="connsiteY1" fmla="*/ 109451 h 267869"/>
                <a:gd name="connsiteX2" fmla="*/ 59242 w 1421110"/>
                <a:gd name="connsiteY2" fmla="*/ 14 h 267869"/>
                <a:gd name="connsiteX3" fmla="*/ 144359 w 1421110"/>
                <a:gd name="connsiteY3" fmla="*/ 101344 h 267869"/>
                <a:gd name="connsiteX4" fmla="*/ 249742 w 1421110"/>
                <a:gd name="connsiteY4" fmla="*/ 12173 h 267869"/>
                <a:gd name="connsiteX5" fmla="*/ 351072 w 1421110"/>
                <a:gd name="connsiteY5" fmla="*/ 105397 h 267869"/>
                <a:gd name="connsiteX6" fmla="*/ 440242 w 1421110"/>
                <a:gd name="connsiteY6" fmla="*/ 16227 h 267869"/>
                <a:gd name="connsiteX7" fmla="*/ 541572 w 1421110"/>
                <a:gd name="connsiteY7" fmla="*/ 101344 h 267869"/>
                <a:gd name="connsiteX8" fmla="*/ 642902 w 1421110"/>
                <a:gd name="connsiteY8" fmla="*/ 12173 h 267869"/>
                <a:gd name="connsiteX9" fmla="*/ 707753 w 1421110"/>
                <a:gd name="connsiteY9" fmla="*/ 105397 h 267869"/>
                <a:gd name="connsiteX10" fmla="*/ 800976 w 1421110"/>
                <a:gd name="connsiteY10" fmla="*/ 16227 h 267869"/>
                <a:gd name="connsiteX11" fmla="*/ 898253 w 1421110"/>
                <a:gd name="connsiteY11" fmla="*/ 109450 h 267869"/>
                <a:gd name="connsiteX12" fmla="*/ 963104 w 1421110"/>
                <a:gd name="connsiteY12" fmla="*/ 20280 h 267869"/>
                <a:gd name="connsiteX13" fmla="*/ 1076593 w 1421110"/>
                <a:gd name="connsiteY13" fmla="*/ 101344 h 267869"/>
                <a:gd name="connsiteX14" fmla="*/ 1161710 w 1421110"/>
                <a:gd name="connsiteY14" fmla="*/ 20280 h 267869"/>
                <a:gd name="connsiteX15" fmla="*/ 1238721 w 1421110"/>
                <a:gd name="connsiteY15" fmla="*/ 109450 h 267869"/>
                <a:gd name="connsiteX16" fmla="*/ 1323838 w 1421110"/>
                <a:gd name="connsiteY16" fmla="*/ 16227 h 267869"/>
                <a:gd name="connsiteX17" fmla="*/ 1413010 w 1421110"/>
                <a:gd name="connsiteY17" fmla="*/ 150897 h 267869"/>
                <a:gd name="connsiteX18" fmla="*/ 1421110 w 1421110"/>
                <a:gd name="connsiteY18" fmla="*/ 267869 h 267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421110" h="267869">
                  <a:moveTo>
                    <a:pt x="6551" y="264181"/>
                  </a:moveTo>
                  <a:cubicBezTo>
                    <a:pt x="11280" y="243919"/>
                    <a:pt x="-6284" y="153479"/>
                    <a:pt x="2498" y="109451"/>
                  </a:cubicBezTo>
                  <a:cubicBezTo>
                    <a:pt x="11280" y="65423"/>
                    <a:pt x="35599" y="1365"/>
                    <a:pt x="59242" y="14"/>
                  </a:cubicBezTo>
                  <a:cubicBezTo>
                    <a:pt x="82885" y="-1337"/>
                    <a:pt x="112609" y="99318"/>
                    <a:pt x="144359" y="101344"/>
                  </a:cubicBezTo>
                  <a:cubicBezTo>
                    <a:pt x="176109" y="103370"/>
                    <a:pt x="215290" y="11498"/>
                    <a:pt x="249742" y="12173"/>
                  </a:cubicBezTo>
                  <a:cubicBezTo>
                    <a:pt x="284194" y="12848"/>
                    <a:pt x="319322" y="104721"/>
                    <a:pt x="351072" y="105397"/>
                  </a:cubicBezTo>
                  <a:cubicBezTo>
                    <a:pt x="382822" y="106073"/>
                    <a:pt x="408492" y="16902"/>
                    <a:pt x="440242" y="16227"/>
                  </a:cubicBezTo>
                  <a:cubicBezTo>
                    <a:pt x="471992" y="15552"/>
                    <a:pt x="507795" y="102020"/>
                    <a:pt x="541572" y="101344"/>
                  </a:cubicBezTo>
                  <a:cubicBezTo>
                    <a:pt x="575349" y="100668"/>
                    <a:pt x="615205" y="11498"/>
                    <a:pt x="642902" y="12173"/>
                  </a:cubicBezTo>
                  <a:cubicBezTo>
                    <a:pt x="670599" y="12848"/>
                    <a:pt x="681407" y="104721"/>
                    <a:pt x="707753" y="105397"/>
                  </a:cubicBezTo>
                  <a:cubicBezTo>
                    <a:pt x="734099" y="106073"/>
                    <a:pt x="769226" y="15552"/>
                    <a:pt x="800976" y="16227"/>
                  </a:cubicBezTo>
                  <a:cubicBezTo>
                    <a:pt x="832726" y="16902"/>
                    <a:pt x="871232" y="108775"/>
                    <a:pt x="898253" y="109450"/>
                  </a:cubicBezTo>
                  <a:cubicBezTo>
                    <a:pt x="925274" y="110126"/>
                    <a:pt x="933381" y="21631"/>
                    <a:pt x="963104" y="20280"/>
                  </a:cubicBezTo>
                  <a:cubicBezTo>
                    <a:pt x="992827" y="18929"/>
                    <a:pt x="1043492" y="101344"/>
                    <a:pt x="1076593" y="101344"/>
                  </a:cubicBezTo>
                  <a:cubicBezTo>
                    <a:pt x="1109694" y="101344"/>
                    <a:pt x="1134689" y="18929"/>
                    <a:pt x="1161710" y="20280"/>
                  </a:cubicBezTo>
                  <a:cubicBezTo>
                    <a:pt x="1188731" y="21631"/>
                    <a:pt x="1211700" y="110126"/>
                    <a:pt x="1238721" y="109450"/>
                  </a:cubicBezTo>
                  <a:cubicBezTo>
                    <a:pt x="1265742" y="108775"/>
                    <a:pt x="1294790" y="9319"/>
                    <a:pt x="1323838" y="16227"/>
                  </a:cubicBezTo>
                  <a:cubicBezTo>
                    <a:pt x="1352886" y="23135"/>
                    <a:pt x="1398824" y="108957"/>
                    <a:pt x="1413010" y="150897"/>
                  </a:cubicBezTo>
                  <a:cubicBezTo>
                    <a:pt x="1427196" y="192837"/>
                    <a:pt x="1415031" y="253900"/>
                    <a:pt x="1421110" y="267869"/>
                  </a:cubicBez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63" name="Freeform 762">
              <a:extLst>
                <a:ext uri="{FF2B5EF4-FFF2-40B4-BE49-F238E27FC236}">
                  <a16:creationId xmlns:a16="http://schemas.microsoft.com/office/drawing/2014/main" id="{00000000-0008-0000-0300-0000FB020000}"/>
                </a:ext>
              </a:extLst>
            </xdr:cNvPr>
            <xdr:cNvSpPr/>
          </xdr:nvSpPr>
          <xdr:spPr>
            <a:xfrm flipV="1">
              <a:off x="3714750" y="4867275"/>
              <a:ext cx="1531585" cy="306276"/>
            </a:xfrm>
            <a:custGeom>
              <a:avLst/>
              <a:gdLst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748299 w 1901927"/>
                <a:gd name="connsiteY4" fmla="*/ 193573 h 316476"/>
                <a:gd name="connsiteX5" fmla="*/ 1898855 w 1901927"/>
                <a:gd name="connsiteY5" fmla="*/ 193573 h 316476"/>
                <a:gd name="connsiteX6" fmla="*/ 1898855 w 1901927"/>
                <a:gd name="connsiteY6" fmla="*/ 316476 h 316476"/>
                <a:gd name="connsiteX7" fmla="*/ 1901927 w 1901927"/>
                <a:gd name="connsiteY7" fmla="*/ 310331 h 316476"/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898855 w 1901927"/>
                <a:gd name="connsiteY4" fmla="*/ 193573 h 316476"/>
                <a:gd name="connsiteX5" fmla="*/ 1898855 w 1901927"/>
                <a:gd name="connsiteY5" fmla="*/ 316476 h 316476"/>
                <a:gd name="connsiteX6" fmla="*/ 1901927 w 1901927"/>
                <a:gd name="connsiteY6" fmla="*/ 310331 h 3164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901927" h="316476">
                  <a:moveTo>
                    <a:pt x="0" y="310331"/>
                  </a:moveTo>
                  <a:lnTo>
                    <a:pt x="0" y="193573"/>
                  </a:lnTo>
                  <a:lnTo>
                    <a:pt x="344129" y="0"/>
                  </a:lnTo>
                  <a:lnTo>
                    <a:pt x="1554726" y="0"/>
                  </a:lnTo>
                  <a:lnTo>
                    <a:pt x="1898855" y="193573"/>
                  </a:lnTo>
                  <a:lnTo>
                    <a:pt x="1898855" y="316476"/>
                  </a:lnTo>
                  <a:lnTo>
                    <a:pt x="1901927" y="310331"/>
                  </a:ln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749" name="TextBox 748">
            <a:extLst>
              <a:ext uri="{FF2B5EF4-FFF2-40B4-BE49-F238E27FC236}">
                <a16:creationId xmlns:a16="http://schemas.microsoft.com/office/drawing/2014/main" id="{00000000-0008-0000-0300-0000ED020000}"/>
              </a:ext>
            </a:extLst>
          </xdr:cNvPr>
          <xdr:cNvSpPr txBox="1"/>
        </xdr:nvSpPr>
        <xdr:spPr>
          <a:xfrm>
            <a:off x="7502609" y="5299329"/>
            <a:ext cx="931092" cy="1385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Cooling pond</a:t>
            </a:r>
          </a:p>
        </xdr:txBody>
      </xdr:sp>
      <xdr:grpSp>
        <xdr:nvGrpSpPr>
          <xdr:cNvPr id="750" name="Group 749">
            <a:extLst>
              <a:ext uri="{FF2B5EF4-FFF2-40B4-BE49-F238E27FC236}">
                <a16:creationId xmlns:a16="http://schemas.microsoft.com/office/drawing/2014/main" id="{00000000-0008-0000-0300-0000EE020000}"/>
              </a:ext>
            </a:extLst>
          </xdr:cNvPr>
          <xdr:cNvGrpSpPr/>
        </xdr:nvGrpSpPr>
        <xdr:grpSpPr>
          <a:xfrm flipV="1">
            <a:off x="7614604" y="4823167"/>
            <a:ext cx="761206" cy="449912"/>
            <a:chOff x="3305175" y="4676775"/>
            <a:chExt cx="1457325" cy="504825"/>
          </a:xfrm>
        </xdr:grpSpPr>
        <xdr:sp macro="" textlink="">
          <xdr:nvSpPr>
            <xdr:cNvPr id="751" name="Arc 750">
              <a:extLst>
                <a:ext uri="{FF2B5EF4-FFF2-40B4-BE49-F238E27FC236}">
                  <a16:creationId xmlns:a16="http://schemas.microsoft.com/office/drawing/2014/main" id="{00000000-0008-0000-0300-0000EF020000}"/>
                </a:ext>
              </a:extLst>
            </xdr:cNvPr>
            <xdr:cNvSpPr/>
          </xdr:nvSpPr>
          <xdr:spPr>
            <a:xfrm rot="10800000">
              <a:off x="3619500" y="46767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2" name="Arc 751">
              <a:extLst>
                <a:ext uri="{FF2B5EF4-FFF2-40B4-BE49-F238E27FC236}">
                  <a16:creationId xmlns:a16="http://schemas.microsoft.com/office/drawing/2014/main" id="{00000000-0008-0000-0300-0000F0020000}"/>
                </a:ext>
              </a:extLst>
            </xdr:cNvPr>
            <xdr:cNvSpPr/>
          </xdr:nvSpPr>
          <xdr:spPr>
            <a:xfrm rot="10800000">
              <a:off x="3543300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3" name="Arc 752">
              <a:extLst>
                <a:ext uri="{FF2B5EF4-FFF2-40B4-BE49-F238E27FC236}">
                  <a16:creationId xmlns:a16="http://schemas.microsoft.com/office/drawing/2014/main" id="{00000000-0008-0000-0300-0000F1020000}"/>
                </a:ext>
              </a:extLst>
            </xdr:cNvPr>
            <xdr:cNvSpPr/>
          </xdr:nvSpPr>
          <xdr:spPr>
            <a:xfrm rot="10800000">
              <a:off x="3562350" y="49625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4" name="Arc 753">
              <a:extLst>
                <a:ext uri="{FF2B5EF4-FFF2-40B4-BE49-F238E27FC236}">
                  <a16:creationId xmlns:a16="http://schemas.microsoft.com/office/drawing/2014/main" id="{00000000-0008-0000-0300-0000F2020000}"/>
                </a:ext>
              </a:extLst>
            </xdr:cNvPr>
            <xdr:cNvSpPr/>
          </xdr:nvSpPr>
          <xdr:spPr>
            <a:xfrm rot="10800000">
              <a:off x="3305175" y="479107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5" name="Arc 754">
              <a:extLst>
                <a:ext uri="{FF2B5EF4-FFF2-40B4-BE49-F238E27FC236}">
                  <a16:creationId xmlns:a16="http://schemas.microsoft.com/office/drawing/2014/main" id="{00000000-0008-0000-0300-0000F3020000}"/>
                </a:ext>
              </a:extLst>
            </xdr:cNvPr>
            <xdr:cNvSpPr/>
          </xdr:nvSpPr>
          <xdr:spPr>
            <a:xfrm rot="9829482">
              <a:off x="4095749" y="4857751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6" name="Arc 755">
              <a:extLst>
                <a:ext uri="{FF2B5EF4-FFF2-40B4-BE49-F238E27FC236}">
                  <a16:creationId xmlns:a16="http://schemas.microsoft.com/office/drawing/2014/main" id="{00000000-0008-0000-0300-0000F4020000}"/>
                </a:ext>
              </a:extLst>
            </xdr:cNvPr>
            <xdr:cNvSpPr/>
          </xdr:nvSpPr>
          <xdr:spPr>
            <a:xfrm rot="9861198">
              <a:off x="3867150" y="49244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7" name="Arc 756">
              <a:extLst>
                <a:ext uri="{FF2B5EF4-FFF2-40B4-BE49-F238E27FC236}">
                  <a16:creationId xmlns:a16="http://schemas.microsoft.com/office/drawing/2014/main" id="{00000000-0008-0000-0300-0000F5020000}"/>
                </a:ext>
              </a:extLst>
            </xdr:cNvPr>
            <xdr:cNvSpPr/>
          </xdr:nvSpPr>
          <xdr:spPr>
            <a:xfrm rot="10800000" flipH="1">
              <a:off x="3609975" y="4733925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8" name="Arc 757">
              <a:extLst>
                <a:ext uri="{FF2B5EF4-FFF2-40B4-BE49-F238E27FC236}">
                  <a16:creationId xmlns:a16="http://schemas.microsoft.com/office/drawing/2014/main" id="{00000000-0008-0000-0300-0000F6020000}"/>
                </a:ext>
              </a:extLst>
            </xdr:cNvPr>
            <xdr:cNvSpPr/>
          </xdr:nvSpPr>
          <xdr:spPr>
            <a:xfrm rot="10800000" flipH="1">
              <a:off x="3876675" y="47625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59" name="Arc 758">
              <a:extLst>
                <a:ext uri="{FF2B5EF4-FFF2-40B4-BE49-F238E27FC236}">
                  <a16:creationId xmlns:a16="http://schemas.microsoft.com/office/drawing/2014/main" id="{00000000-0008-0000-0300-0000F7020000}"/>
                </a:ext>
              </a:extLst>
            </xdr:cNvPr>
            <xdr:cNvSpPr/>
          </xdr:nvSpPr>
          <xdr:spPr>
            <a:xfrm rot="10800000" flipH="1">
              <a:off x="4114800" y="483870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60" name="Arc 759">
              <a:extLst>
                <a:ext uri="{FF2B5EF4-FFF2-40B4-BE49-F238E27FC236}">
                  <a16:creationId xmlns:a16="http://schemas.microsoft.com/office/drawing/2014/main" id="{00000000-0008-0000-0300-0000F8020000}"/>
                </a:ext>
              </a:extLst>
            </xdr:cNvPr>
            <xdr:cNvSpPr/>
          </xdr:nvSpPr>
          <xdr:spPr>
            <a:xfrm rot="10800000" flipH="1">
              <a:off x="4191000" y="4705350"/>
              <a:ext cx="571500" cy="219075"/>
            </a:xfrm>
            <a:prstGeom prst="arc">
              <a:avLst/>
            </a:prstGeom>
            <a:ln w="6350"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 editAs="absolute">
    <xdr:from>
      <xdr:col>9</xdr:col>
      <xdr:colOff>207821</xdr:colOff>
      <xdr:row>113</xdr:row>
      <xdr:rowOff>108884</xdr:rowOff>
    </xdr:from>
    <xdr:to>
      <xdr:col>17</xdr:col>
      <xdr:colOff>81186</xdr:colOff>
      <xdr:row>115</xdr:row>
      <xdr:rowOff>149558</xdr:rowOff>
    </xdr:to>
    <xdr:sp macro="" textlink="">
      <xdr:nvSpPr>
        <xdr:cNvPr id="832" name="Freeform 11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SpPr>
          <a:spLocks/>
        </xdr:cNvSpPr>
      </xdr:nvSpPr>
      <xdr:spPr bwMode="auto">
        <a:xfrm rot="5400000">
          <a:off x="4494781" y="18328138"/>
          <a:ext cx="367246" cy="1702165"/>
        </a:xfrm>
        <a:custGeom>
          <a:avLst/>
          <a:gdLst>
            <a:gd name="T0" fmla="*/ 0 w 64"/>
            <a:gd name="T1" fmla="*/ 2 h 144"/>
            <a:gd name="T2" fmla="*/ 2 w 64"/>
            <a:gd name="T3" fmla="*/ 141 h 144"/>
            <a:gd name="T4" fmla="*/ 18 w 64"/>
            <a:gd name="T5" fmla="*/ 114 h 144"/>
            <a:gd name="T6" fmla="*/ 34 w 64"/>
            <a:gd name="T7" fmla="*/ 141 h 144"/>
            <a:gd name="T8" fmla="*/ 48 w 64"/>
            <a:gd name="T9" fmla="*/ 117 h 144"/>
            <a:gd name="T10" fmla="*/ 64 w 64"/>
            <a:gd name="T11" fmla="*/ 144 h 144"/>
            <a:gd name="T12" fmla="*/ 64 w 64"/>
            <a:gd name="T13" fmla="*/ 0 h 144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64"/>
            <a:gd name="T22" fmla="*/ 0 h 144"/>
            <a:gd name="T23" fmla="*/ 64 w 64"/>
            <a:gd name="T24" fmla="*/ 144 h 144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64" h="144">
              <a:moveTo>
                <a:pt x="0" y="2"/>
              </a:moveTo>
              <a:lnTo>
                <a:pt x="2" y="141"/>
              </a:lnTo>
              <a:lnTo>
                <a:pt x="18" y="114"/>
              </a:lnTo>
              <a:lnTo>
                <a:pt x="34" y="141"/>
              </a:lnTo>
              <a:lnTo>
                <a:pt x="48" y="117"/>
              </a:lnTo>
              <a:lnTo>
                <a:pt x="64" y="144"/>
              </a:lnTo>
              <a:lnTo>
                <a:pt x="64" y="0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207585</xdr:colOff>
      <xdr:row>107</xdr:row>
      <xdr:rowOff>151416</xdr:rowOff>
    </xdr:from>
    <xdr:to>
      <xdr:col>12</xdr:col>
      <xdr:colOff>30632</xdr:colOff>
      <xdr:row>120</xdr:row>
      <xdr:rowOff>22841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GrpSpPr/>
      </xdr:nvGrpSpPr>
      <xdr:grpSpPr>
        <a:xfrm>
          <a:off x="2360235" y="17763141"/>
          <a:ext cx="1966172" cy="2147900"/>
          <a:chOff x="2956909" y="10252794"/>
          <a:chExt cx="3320555" cy="3411660"/>
        </a:xfrm>
      </xdr:grpSpPr>
      <xdr:grpSp>
        <xdr:nvGrpSpPr>
          <xdr:cNvPr id="799" name="Turbine">
            <a:extLst>
              <a:ext uri="{FF2B5EF4-FFF2-40B4-BE49-F238E27FC236}">
                <a16:creationId xmlns:a16="http://schemas.microsoft.com/office/drawing/2014/main" id="{00000000-0008-0000-0300-00001F030000}"/>
              </a:ext>
            </a:extLst>
          </xdr:cNvPr>
          <xdr:cNvGrpSpPr/>
        </xdr:nvGrpSpPr>
        <xdr:grpSpPr>
          <a:xfrm flipH="1">
            <a:off x="3840918" y="10384911"/>
            <a:ext cx="1856712" cy="1243500"/>
            <a:chOff x="9572125" y="4713379"/>
            <a:chExt cx="1018486" cy="1197133"/>
          </a:xfrm>
        </xdr:grpSpPr>
        <xdr:sp macro="" textlink="">
          <xdr:nvSpPr>
            <xdr:cNvPr id="826" name="Rectangle 825">
              <a:extLst>
                <a:ext uri="{FF2B5EF4-FFF2-40B4-BE49-F238E27FC236}">
                  <a16:creationId xmlns:a16="http://schemas.microsoft.com/office/drawing/2014/main" id="{00000000-0008-0000-0300-00003A030000}"/>
                </a:ext>
              </a:extLst>
            </xdr:cNvPr>
            <xdr:cNvSpPr/>
          </xdr:nvSpPr>
          <xdr:spPr>
            <a:xfrm>
              <a:off x="10341143" y="4831682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27" name="Rectangle 826">
              <a:extLst>
                <a:ext uri="{FF2B5EF4-FFF2-40B4-BE49-F238E27FC236}">
                  <a16:creationId xmlns:a16="http://schemas.microsoft.com/office/drawing/2014/main" id="{00000000-0008-0000-0300-00003B030000}"/>
                </a:ext>
              </a:extLst>
            </xdr:cNvPr>
            <xdr:cNvSpPr/>
          </xdr:nvSpPr>
          <xdr:spPr>
            <a:xfrm>
              <a:off x="9637295" y="5586664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28" name="Trapezoid 827">
              <a:extLst>
                <a:ext uri="{FF2B5EF4-FFF2-40B4-BE49-F238E27FC236}">
                  <a16:creationId xmlns:a16="http://schemas.microsoft.com/office/drawing/2014/main" id="{00000000-0008-0000-0300-00003C030000}"/>
                </a:ext>
              </a:extLst>
            </xdr:cNvPr>
            <xdr:cNvSpPr/>
          </xdr:nvSpPr>
          <xdr:spPr>
            <a:xfrm rot="5400000" flipH="1">
              <a:off x="9577642" y="4713870"/>
              <a:ext cx="1007451" cy="1018486"/>
            </a:xfrm>
            <a:prstGeom prst="trapezoid">
              <a:avLst>
                <a:gd name="adj" fmla="val 32812"/>
              </a:avLst>
            </a:prstGeom>
            <a:solidFill>
              <a:schemeClr val="bg1"/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29" name="Rectangle 828">
              <a:extLst>
                <a:ext uri="{FF2B5EF4-FFF2-40B4-BE49-F238E27FC236}">
                  <a16:creationId xmlns:a16="http://schemas.microsoft.com/office/drawing/2014/main" id="{00000000-0008-0000-0300-00003D030000}"/>
                </a:ext>
              </a:extLst>
            </xdr:cNvPr>
            <xdr:cNvSpPr/>
          </xdr:nvSpPr>
          <xdr:spPr>
            <a:xfrm>
              <a:off x="9663479" y="5468361"/>
              <a:ext cx="141675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30" name="Rectangle 829">
              <a:extLst>
                <a:ext uri="{FF2B5EF4-FFF2-40B4-BE49-F238E27FC236}">
                  <a16:creationId xmlns:a16="http://schemas.microsoft.com/office/drawing/2014/main" id="{00000000-0008-0000-0300-00003E030000}"/>
                </a:ext>
              </a:extLst>
            </xdr:cNvPr>
            <xdr:cNvSpPr/>
          </xdr:nvSpPr>
          <xdr:spPr>
            <a:xfrm>
              <a:off x="10352171" y="4713379"/>
              <a:ext cx="165433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31" name="TextBox 830">
              <a:extLst>
                <a:ext uri="{FF2B5EF4-FFF2-40B4-BE49-F238E27FC236}">
                  <a16:creationId xmlns:a16="http://schemas.microsoft.com/office/drawing/2014/main" id="{00000000-0008-0000-0300-00003F030000}"/>
                </a:ext>
              </a:extLst>
            </xdr:cNvPr>
            <xdr:cNvSpPr txBox="1"/>
          </xdr:nvSpPr>
          <xdr:spPr>
            <a:xfrm>
              <a:off x="9639489" y="5058815"/>
              <a:ext cx="823316" cy="28441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pPr algn="ctr"/>
              <a:r>
                <a:rPr lang="en-GB" sz="900"/>
                <a:t>Steam turbine</a:t>
              </a:r>
            </a:p>
          </xdr:txBody>
        </xdr:sp>
      </xdr:grpSp>
      <xdr:cxnSp macro="">
        <xdr:nvCxnSpPr>
          <xdr:cNvPr id="800" name="Elbow Connector 799">
            <a:extLst>
              <a:ext uri="{FF2B5EF4-FFF2-40B4-BE49-F238E27FC236}">
                <a16:creationId xmlns:a16="http://schemas.microsoft.com/office/drawing/2014/main" id="{00000000-0008-0000-0300-000020030000}"/>
              </a:ext>
            </a:extLst>
          </xdr:cNvPr>
          <xdr:cNvCxnSpPr/>
        </xdr:nvCxnSpPr>
        <xdr:spPr>
          <a:xfrm rot="10800000" flipV="1">
            <a:off x="3335432" y="12832056"/>
            <a:ext cx="2054699" cy="554491"/>
          </a:xfrm>
          <a:prstGeom prst="bentConnector3">
            <a:avLst>
              <a:gd name="adj1" fmla="val -110"/>
            </a:avLst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1" name="Elbow Connector 800">
            <a:extLst>
              <a:ext uri="{FF2B5EF4-FFF2-40B4-BE49-F238E27FC236}">
                <a16:creationId xmlns:a16="http://schemas.microsoft.com/office/drawing/2014/main" id="{00000000-0008-0000-0300-000021030000}"/>
              </a:ext>
            </a:extLst>
          </xdr:cNvPr>
          <xdr:cNvCxnSpPr/>
        </xdr:nvCxnSpPr>
        <xdr:spPr>
          <a:xfrm>
            <a:off x="3182271" y="10268926"/>
            <a:ext cx="922518" cy="337038"/>
          </a:xfrm>
          <a:prstGeom prst="bentConnector2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02" name="TextBox 801">
            <a:extLst>
              <a:ext uri="{FF2B5EF4-FFF2-40B4-BE49-F238E27FC236}">
                <a16:creationId xmlns:a16="http://schemas.microsoft.com/office/drawing/2014/main" id="{00000000-0008-0000-0300-000022030000}"/>
              </a:ext>
            </a:extLst>
          </xdr:cNvPr>
          <xdr:cNvSpPr txBox="1"/>
        </xdr:nvSpPr>
        <xdr:spPr>
          <a:xfrm>
            <a:off x="3746477" y="13430250"/>
            <a:ext cx="1185776" cy="2342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Condensate</a:t>
            </a:r>
          </a:p>
        </xdr:txBody>
      </xdr:sp>
      <xdr:sp macro="" textlink="">
        <xdr:nvSpPr>
          <xdr:cNvPr id="803" name="TextBox 802">
            <a:extLst>
              <a:ext uri="{FF2B5EF4-FFF2-40B4-BE49-F238E27FC236}">
                <a16:creationId xmlns:a16="http://schemas.microsoft.com/office/drawing/2014/main" id="{00000000-0008-0000-0300-000023030000}"/>
              </a:ext>
            </a:extLst>
          </xdr:cNvPr>
          <xdr:cNvSpPr txBox="1"/>
        </xdr:nvSpPr>
        <xdr:spPr>
          <a:xfrm>
            <a:off x="2956909" y="10252794"/>
            <a:ext cx="1174577" cy="523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Steam</a:t>
            </a:r>
          </a:p>
        </xdr:txBody>
      </xdr:sp>
      <xdr:grpSp>
        <xdr:nvGrpSpPr>
          <xdr:cNvPr id="804" name="Condenser Surface">
            <a:extLst>
              <a:ext uri="{FF2B5EF4-FFF2-40B4-BE49-F238E27FC236}">
                <a16:creationId xmlns:a16="http://schemas.microsoft.com/office/drawing/2014/main" id="{00000000-0008-0000-0300-000024030000}"/>
              </a:ext>
            </a:extLst>
          </xdr:cNvPr>
          <xdr:cNvGrpSpPr/>
        </xdr:nvGrpSpPr>
        <xdr:grpSpPr>
          <a:xfrm>
            <a:off x="4602517" y="11628924"/>
            <a:ext cx="1674947" cy="1201752"/>
            <a:chOff x="446484" y="32599312"/>
            <a:chExt cx="1308281" cy="946442"/>
          </a:xfrm>
        </xdr:grpSpPr>
        <xdr:grpSp>
          <xdr:nvGrpSpPr>
            <xdr:cNvPr id="805" name="Group 804">
              <a:extLst>
                <a:ext uri="{FF2B5EF4-FFF2-40B4-BE49-F238E27FC236}">
                  <a16:creationId xmlns:a16="http://schemas.microsoft.com/office/drawing/2014/main" id="{00000000-0008-0000-0300-000025030000}"/>
                </a:ext>
              </a:extLst>
            </xdr:cNvPr>
            <xdr:cNvGrpSpPr/>
          </xdr:nvGrpSpPr>
          <xdr:grpSpPr>
            <a:xfrm>
              <a:off x="446484" y="32599312"/>
              <a:ext cx="1308281" cy="946442"/>
              <a:chOff x="470858" y="35630288"/>
              <a:chExt cx="1308281" cy="946442"/>
            </a:xfrm>
          </xdr:grpSpPr>
          <xdr:sp macro="" textlink="">
            <xdr:nvSpPr>
              <xdr:cNvPr id="817" name="Freeform 816">
                <a:extLst>
                  <a:ext uri="{FF2B5EF4-FFF2-40B4-BE49-F238E27FC236}">
                    <a16:creationId xmlns:a16="http://schemas.microsoft.com/office/drawing/2014/main" id="{00000000-0008-0000-0300-000031030000}"/>
                  </a:ext>
                </a:extLst>
              </xdr:cNvPr>
              <xdr:cNvSpPr/>
            </xdr:nvSpPr>
            <xdr:spPr>
              <a:xfrm>
                <a:off x="843606" y="36454605"/>
                <a:ext cx="562786" cy="119560"/>
              </a:xfrm>
              <a:custGeom>
                <a:avLst/>
                <a:gdLst>
                  <a:gd name="connsiteX0" fmla="*/ 0 w 1410510"/>
                  <a:gd name="connsiteY0" fmla="*/ 50247 h 111048"/>
                  <a:gd name="connsiteX1" fmla="*/ 52691 w 1410510"/>
                  <a:gd name="connsiteY1" fmla="*/ 1609 h 111048"/>
                  <a:gd name="connsiteX2" fmla="*/ 137808 w 1410510"/>
                  <a:gd name="connsiteY2" fmla="*/ 102939 h 111048"/>
                  <a:gd name="connsiteX3" fmla="*/ 243191 w 1410510"/>
                  <a:gd name="connsiteY3" fmla="*/ 13768 h 111048"/>
                  <a:gd name="connsiteX4" fmla="*/ 344521 w 1410510"/>
                  <a:gd name="connsiteY4" fmla="*/ 106992 h 111048"/>
                  <a:gd name="connsiteX5" fmla="*/ 433691 w 1410510"/>
                  <a:gd name="connsiteY5" fmla="*/ 17822 h 111048"/>
                  <a:gd name="connsiteX6" fmla="*/ 535021 w 1410510"/>
                  <a:gd name="connsiteY6" fmla="*/ 102939 h 111048"/>
                  <a:gd name="connsiteX7" fmla="*/ 636351 w 1410510"/>
                  <a:gd name="connsiteY7" fmla="*/ 13768 h 111048"/>
                  <a:gd name="connsiteX8" fmla="*/ 701202 w 1410510"/>
                  <a:gd name="connsiteY8" fmla="*/ 106992 h 111048"/>
                  <a:gd name="connsiteX9" fmla="*/ 794425 w 1410510"/>
                  <a:gd name="connsiteY9" fmla="*/ 17822 h 111048"/>
                  <a:gd name="connsiteX10" fmla="*/ 891702 w 1410510"/>
                  <a:gd name="connsiteY10" fmla="*/ 111045 h 111048"/>
                  <a:gd name="connsiteX11" fmla="*/ 956553 w 1410510"/>
                  <a:gd name="connsiteY11" fmla="*/ 21875 h 111048"/>
                  <a:gd name="connsiteX12" fmla="*/ 1070042 w 1410510"/>
                  <a:gd name="connsiteY12" fmla="*/ 102939 h 111048"/>
                  <a:gd name="connsiteX13" fmla="*/ 1155159 w 1410510"/>
                  <a:gd name="connsiteY13" fmla="*/ 21875 h 111048"/>
                  <a:gd name="connsiteX14" fmla="*/ 1232170 w 1410510"/>
                  <a:gd name="connsiteY14" fmla="*/ 111045 h 111048"/>
                  <a:gd name="connsiteX15" fmla="*/ 1317287 w 1410510"/>
                  <a:gd name="connsiteY15" fmla="*/ 17822 h 111048"/>
                  <a:gd name="connsiteX16" fmla="*/ 1410510 w 1410510"/>
                  <a:gd name="connsiteY16" fmla="*/ 70513 h 111048"/>
                  <a:gd name="connsiteX0" fmla="*/ 0 w 1418616"/>
                  <a:gd name="connsiteY0" fmla="*/ 50247 h 128541"/>
                  <a:gd name="connsiteX1" fmla="*/ 52691 w 1418616"/>
                  <a:gd name="connsiteY1" fmla="*/ 1609 h 128541"/>
                  <a:gd name="connsiteX2" fmla="*/ 137808 w 1418616"/>
                  <a:gd name="connsiteY2" fmla="*/ 102939 h 128541"/>
                  <a:gd name="connsiteX3" fmla="*/ 243191 w 1418616"/>
                  <a:gd name="connsiteY3" fmla="*/ 13768 h 128541"/>
                  <a:gd name="connsiteX4" fmla="*/ 344521 w 1418616"/>
                  <a:gd name="connsiteY4" fmla="*/ 106992 h 128541"/>
                  <a:gd name="connsiteX5" fmla="*/ 433691 w 1418616"/>
                  <a:gd name="connsiteY5" fmla="*/ 17822 h 128541"/>
                  <a:gd name="connsiteX6" fmla="*/ 535021 w 1418616"/>
                  <a:gd name="connsiteY6" fmla="*/ 102939 h 128541"/>
                  <a:gd name="connsiteX7" fmla="*/ 636351 w 1418616"/>
                  <a:gd name="connsiteY7" fmla="*/ 13768 h 128541"/>
                  <a:gd name="connsiteX8" fmla="*/ 701202 w 1418616"/>
                  <a:gd name="connsiteY8" fmla="*/ 106992 h 128541"/>
                  <a:gd name="connsiteX9" fmla="*/ 794425 w 1418616"/>
                  <a:gd name="connsiteY9" fmla="*/ 17822 h 128541"/>
                  <a:gd name="connsiteX10" fmla="*/ 891702 w 1418616"/>
                  <a:gd name="connsiteY10" fmla="*/ 111045 h 128541"/>
                  <a:gd name="connsiteX11" fmla="*/ 956553 w 1418616"/>
                  <a:gd name="connsiteY11" fmla="*/ 21875 h 128541"/>
                  <a:gd name="connsiteX12" fmla="*/ 1070042 w 1418616"/>
                  <a:gd name="connsiteY12" fmla="*/ 102939 h 128541"/>
                  <a:gd name="connsiteX13" fmla="*/ 1155159 w 1418616"/>
                  <a:gd name="connsiteY13" fmla="*/ 21875 h 128541"/>
                  <a:gd name="connsiteX14" fmla="*/ 1232170 w 1418616"/>
                  <a:gd name="connsiteY14" fmla="*/ 111045 h 128541"/>
                  <a:gd name="connsiteX15" fmla="*/ 1317287 w 1418616"/>
                  <a:gd name="connsiteY15" fmla="*/ 17822 h 128541"/>
                  <a:gd name="connsiteX16" fmla="*/ 1418616 w 1418616"/>
                  <a:gd name="connsiteY16" fmla="*/ 128541 h 128541"/>
                  <a:gd name="connsiteX0" fmla="*/ 0 w 1418616"/>
                  <a:gd name="connsiteY0" fmla="*/ 267983 h 267983"/>
                  <a:gd name="connsiteX1" fmla="*/ 52691 w 1418616"/>
                  <a:gd name="connsiteY1" fmla="*/ 3816 h 267983"/>
                  <a:gd name="connsiteX2" fmla="*/ 137808 w 1418616"/>
                  <a:gd name="connsiteY2" fmla="*/ 105146 h 267983"/>
                  <a:gd name="connsiteX3" fmla="*/ 243191 w 1418616"/>
                  <a:gd name="connsiteY3" fmla="*/ 15975 h 267983"/>
                  <a:gd name="connsiteX4" fmla="*/ 344521 w 1418616"/>
                  <a:gd name="connsiteY4" fmla="*/ 109199 h 267983"/>
                  <a:gd name="connsiteX5" fmla="*/ 433691 w 1418616"/>
                  <a:gd name="connsiteY5" fmla="*/ 20029 h 267983"/>
                  <a:gd name="connsiteX6" fmla="*/ 535021 w 1418616"/>
                  <a:gd name="connsiteY6" fmla="*/ 105146 h 267983"/>
                  <a:gd name="connsiteX7" fmla="*/ 636351 w 1418616"/>
                  <a:gd name="connsiteY7" fmla="*/ 15975 h 267983"/>
                  <a:gd name="connsiteX8" fmla="*/ 701202 w 1418616"/>
                  <a:gd name="connsiteY8" fmla="*/ 109199 h 267983"/>
                  <a:gd name="connsiteX9" fmla="*/ 794425 w 1418616"/>
                  <a:gd name="connsiteY9" fmla="*/ 20029 h 267983"/>
                  <a:gd name="connsiteX10" fmla="*/ 891702 w 1418616"/>
                  <a:gd name="connsiteY10" fmla="*/ 113252 h 267983"/>
                  <a:gd name="connsiteX11" fmla="*/ 956553 w 1418616"/>
                  <a:gd name="connsiteY11" fmla="*/ 24082 h 267983"/>
                  <a:gd name="connsiteX12" fmla="*/ 1070042 w 1418616"/>
                  <a:gd name="connsiteY12" fmla="*/ 105146 h 267983"/>
                  <a:gd name="connsiteX13" fmla="*/ 1155159 w 1418616"/>
                  <a:gd name="connsiteY13" fmla="*/ 24082 h 267983"/>
                  <a:gd name="connsiteX14" fmla="*/ 1232170 w 1418616"/>
                  <a:gd name="connsiteY14" fmla="*/ 113252 h 267983"/>
                  <a:gd name="connsiteX15" fmla="*/ 1317287 w 1418616"/>
                  <a:gd name="connsiteY15" fmla="*/ 20029 h 267983"/>
                  <a:gd name="connsiteX16" fmla="*/ 1418616 w 1418616"/>
                  <a:gd name="connsiteY16" fmla="*/ 130748 h 267983"/>
                  <a:gd name="connsiteX0" fmla="*/ 0 w 1418616"/>
                  <a:gd name="connsiteY0" fmla="*/ 264488 h 264488"/>
                  <a:gd name="connsiteX1" fmla="*/ 28372 w 1418616"/>
                  <a:gd name="connsiteY1" fmla="*/ 142917 h 264488"/>
                  <a:gd name="connsiteX2" fmla="*/ 52691 w 1418616"/>
                  <a:gd name="connsiteY2" fmla="*/ 321 h 264488"/>
                  <a:gd name="connsiteX3" fmla="*/ 137808 w 1418616"/>
                  <a:gd name="connsiteY3" fmla="*/ 101651 h 264488"/>
                  <a:gd name="connsiteX4" fmla="*/ 243191 w 1418616"/>
                  <a:gd name="connsiteY4" fmla="*/ 12480 h 264488"/>
                  <a:gd name="connsiteX5" fmla="*/ 344521 w 1418616"/>
                  <a:gd name="connsiteY5" fmla="*/ 105704 h 264488"/>
                  <a:gd name="connsiteX6" fmla="*/ 433691 w 1418616"/>
                  <a:gd name="connsiteY6" fmla="*/ 16534 h 264488"/>
                  <a:gd name="connsiteX7" fmla="*/ 535021 w 1418616"/>
                  <a:gd name="connsiteY7" fmla="*/ 101651 h 264488"/>
                  <a:gd name="connsiteX8" fmla="*/ 636351 w 1418616"/>
                  <a:gd name="connsiteY8" fmla="*/ 12480 h 264488"/>
                  <a:gd name="connsiteX9" fmla="*/ 701202 w 1418616"/>
                  <a:gd name="connsiteY9" fmla="*/ 105704 h 264488"/>
                  <a:gd name="connsiteX10" fmla="*/ 794425 w 1418616"/>
                  <a:gd name="connsiteY10" fmla="*/ 16534 h 264488"/>
                  <a:gd name="connsiteX11" fmla="*/ 891702 w 1418616"/>
                  <a:gd name="connsiteY11" fmla="*/ 109757 h 264488"/>
                  <a:gd name="connsiteX12" fmla="*/ 956553 w 1418616"/>
                  <a:gd name="connsiteY12" fmla="*/ 20587 h 264488"/>
                  <a:gd name="connsiteX13" fmla="*/ 1070042 w 1418616"/>
                  <a:gd name="connsiteY13" fmla="*/ 101651 h 264488"/>
                  <a:gd name="connsiteX14" fmla="*/ 1155159 w 1418616"/>
                  <a:gd name="connsiteY14" fmla="*/ 20587 h 264488"/>
                  <a:gd name="connsiteX15" fmla="*/ 1232170 w 1418616"/>
                  <a:gd name="connsiteY15" fmla="*/ 109757 h 264488"/>
                  <a:gd name="connsiteX16" fmla="*/ 1317287 w 1418616"/>
                  <a:gd name="connsiteY16" fmla="*/ 16534 h 264488"/>
                  <a:gd name="connsiteX17" fmla="*/ 1418616 w 1418616"/>
                  <a:gd name="connsiteY17" fmla="*/ 127253 h 264488"/>
                  <a:gd name="connsiteX0" fmla="*/ 6551 w 1425167"/>
                  <a:gd name="connsiteY0" fmla="*/ 264181 h 264181"/>
                  <a:gd name="connsiteX1" fmla="*/ 2498 w 1425167"/>
                  <a:gd name="connsiteY1" fmla="*/ 109451 h 264181"/>
                  <a:gd name="connsiteX2" fmla="*/ 59242 w 1425167"/>
                  <a:gd name="connsiteY2" fmla="*/ 14 h 264181"/>
                  <a:gd name="connsiteX3" fmla="*/ 144359 w 1425167"/>
                  <a:gd name="connsiteY3" fmla="*/ 101344 h 264181"/>
                  <a:gd name="connsiteX4" fmla="*/ 249742 w 1425167"/>
                  <a:gd name="connsiteY4" fmla="*/ 12173 h 264181"/>
                  <a:gd name="connsiteX5" fmla="*/ 351072 w 1425167"/>
                  <a:gd name="connsiteY5" fmla="*/ 105397 h 264181"/>
                  <a:gd name="connsiteX6" fmla="*/ 440242 w 1425167"/>
                  <a:gd name="connsiteY6" fmla="*/ 16227 h 264181"/>
                  <a:gd name="connsiteX7" fmla="*/ 541572 w 1425167"/>
                  <a:gd name="connsiteY7" fmla="*/ 101344 h 264181"/>
                  <a:gd name="connsiteX8" fmla="*/ 642902 w 1425167"/>
                  <a:gd name="connsiteY8" fmla="*/ 12173 h 264181"/>
                  <a:gd name="connsiteX9" fmla="*/ 707753 w 1425167"/>
                  <a:gd name="connsiteY9" fmla="*/ 105397 h 264181"/>
                  <a:gd name="connsiteX10" fmla="*/ 800976 w 1425167"/>
                  <a:gd name="connsiteY10" fmla="*/ 16227 h 264181"/>
                  <a:gd name="connsiteX11" fmla="*/ 898253 w 1425167"/>
                  <a:gd name="connsiteY11" fmla="*/ 109450 h 264181"/>
                  <a:gd name="connsiteX12" fmla="*/ 963104 w 1425167"/>
                  <a:gd name="connsiteY12" fmla="*/ 20280 h 264181"/>
                  <a:gd name="connsiteX13" fmla="*/ 1076593 w 1425167"/>
                  <a:gd name="connsiteY13" fmla="*/ 101344 h 264181"/>
                  <a:gd name="connsiteX14" fmla="*/ 1161710 w 1425167"/>
                  <a:gd name="connsiteY14" fmla="*/ 20280 h 264181"/>
                  <a:gd name="connsiteX15" fmla="*/ 1238721 w 1425167"/>
                  <a:gd name="connsiteY15" fmla="*/ 109450 h 264181"/>
                  <a:gd name="connsiteX16" fmla="*/ 1323838 w 1425167"/>
                  <a:gd name="connsiteY16" fmla="*/ 16227 h 264181"/>
                  <a:gd name="connsiteX17" fmla="*/ 1425167 w 1425167"/>
                  <a:gd name="connsiteY17" fmla="*/ 126946 h 264181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408954 w 1408954"/>
                  <a:gd name="connsiteY17" fmla="*/ 267869 h 267869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372477 w 1408954"/>
                  <a:gd name="connsiteY17" fmla="*/ 184056 h 267869"/>
                  <a:gd name="connsiteX18" fmla="*/ 1408954 w 1408954"/>
                  <a:gd name="connsiteY18" fmla="*/ 267869 h 267869"/>
                  <a:gd name="connsiteX0" fmla="*/ 6551 w 1424741"/>
                  <a:gd name="connsiteY0" fmla="*/ 264181 h 267869"/>
                  <a:gd name="connsiteX1" fmla="*/ 2498 w 1424741"/>
                  <a:gd name="connsiteY1" fmla="*/ 109451 h 267869"/>
                  <a:gd name="connsiteX2" fmla="*/ 59242 w 1424741"/>
                  <a:gd name="connsiteY2" fmla="*/ 14 h 267869"/>
                  <a:gd name="connsiteX3" fmla="*/ 144359 w 1424741"/>
                  <a:gd name="connsiteY3" fmla="*/ 101344 h 267869"/>
                  <a:gd name="connsiteX4" fmla="*/ 249742 w 1424741"/>
                  <a:gd name="connsiteY4" fmla="*/ 12173 h 267869"/>
                  <a:gd name="connsiteX5" fmla="*/ 351072 w 1424741"/>
                  <a:gd name="connsiteY5" fmla="*/ 105397 h 267869"/>
                  <a:gd name="connsiteX6" fmla="*/ 440242 w 1424741"/>
                  <a:gd name="connsiteY6" fmla="*/ 16227 h 267869"/>
                  <a:gd name="connsiteX7" fmla="*/ 541572 w 1424741"/>
                  <a:gd name="connsiteY7" fmla="*/ 101344 h 267869"/>
                  <a:gd name="connsiteX8" fmla="*/ 642902 w 1424741"/>
                  <a:gd name="connsiteY8" fmla="*/ 12173 h 267869"/>
                  <a:gd name="connsiteX9" fmla="*/ 707753 w 1424741"/>
                  <a:gd name="connsiteY9" fmla="*/ 105397 h 267869"/>
                  <a:gd name="connsiteX10" fmla="*/ 800976 w 1424741"/>
                  <a:gd name="connsiteY10" fmla="*/ 16227 h 267869"/>
                  <a:gd name="connsiteX11" fmla="*/ 898253 w 1424741"/>
                  <a:gd name="connsiteY11" fmla="*/ 109450 h 267869"/>
                  <a:gd name="connsiteX12" fmla="*/ 963104 w 1424741"/>
                  <a:gd name="connsiteY12" fmla="*/ 20280 h 267869"/>
                  <a:gd name="connsiteX13" fmla="*/ 1076593 w 1424741"/>
                  <a:gd name="connsiteY13" fmla="*/ 101344 h 267869"/>
                  <a:gd name="connsiteX14" fmla="*/ 1161710 w 1424741"/>
                  <a:gd name="connsiteY14" fmla="*/ 20280 h 267869"/>
                  <a:gd name="connsiteX15" fmla="*/ 1238721 w 1424741"/>
                  <a:gd name="connsiteY15" fmla="*/ 109450 h 267869"/>
                  <a:gd name="connsiteX16" fmla="*/ 1323838 w 1424741"/>
                  <a:gd name="connsiteY16" fmla="*/ 16227 h 267869"/>
                  <a:gd name="connsiteX17" fmla="*/ 1421115 w 1424741"/>
                  <a:gd name="connsiteY17" fmla="*/ 142608 h 267869"/>
                  <a:gd name="connsiteX18" fmla="*/ 1408954 w 1424741"/>
                  <a:gd name="connsiteY18" fmla="*/ 267869 h 267869"/>
                  <a:gd name="connsiteX0" fmla="*/ 6551 w 1426266"/>
                  <a:gd name="connsiteY0" fmla="*/ 264181 h 267869"/>
                  <a:gd name="connsiteX1" fmla="*/ 2498 w 1426266"/>
                  <a:gd name="connsiteY1" fmla="*/ 109451 h 267869"/>
                  <a:gd name="connsiteX2" fmla="*/ 59242 w 1426266"/>
                  <a:gd name="connsiteY2" fmla="*/ 14 h 267869"/>
                  <a:gd name="connsiteX3" fmla="*/ 144359 w 1426266"/>
                  <a:gd name="connsiteY3" fmla="*/ 101344 h 267869"/>
                  <a:gd name="connsiteX4" fmla="*/ 249742 w 1426266"/>
                  <a:gd name="connsiteY4" fmla="*/ 12173 h 267869"/>
                  <a:gd name="connsiteX5" fmla="*/ 351072 w 1426266"/>
                  <a:gd name="connsiteY5" fmla="*/ 105397 h 267869"/>
                  <a:gd name="connsiteX6" fmla="*/ 440242 w 1426266"/>
                  <a:gd name="connsiteY6" fmla="*/ 16227 h 267869"/>
                  <a:gd name="connsiteX7" fmla="*/ 541572 w 1426266"/>
                  <a:gd name="connsiteY7" fmla="*/ 101344 h 267869"/>
                  <a:gd name="connsiteX8" fmla="*/ 642902 w 1426266"/>
                  <a:gd name="connsiteY8" fmla="*/ 12173 h 267869"/>
                  <a:gd name="connsiteX9" fmla="*/ 707753 w 1426266"/>
                  <a:gd name="connsiteY9" fmla="*/ 105397 h 267869"/>
                  <a:gd name="connsiteX10" fmla="*/ 800976 w 1426266"/>
                  <a:gd name="connsiteY10" fmla="*/ 16227 h 267869"/>
                  <a:gd name="connsiteX11" fmla="*/ 898253 w 1426266"/>
                  <a:gd name="connsiteY11" fmla="*/ 109450 h 267869"/>
                  <a:gd name="connsiteX12" fmla="*/ 963104 w 1426266"/>
                  <a:gd name="connsiteY12" fmla="*/ 20280 h 267869"/>
                  <a:gd name="connsiteX13" fmla="*/ 1076593 w 1426266"/>
                  <a:gd name="connsiteY13" fmla="*/ 101344 h 267869"/>
                  <a:gd name="connsiteX14" fmla="*/ 1161710 w 1426266"/>
                  <a:gd name="connsiteY14" fmla="*/ 20280 h 267869"/>
                  <a:gd name="connsiteX15" fmla="*/ 1238721 w 1426266"/>
                  <a:gd name="connsiteY15" fmla="*/ 109450 h 267869"/>
                  <a:gd name="connsiteX16" fmla="*/ 1323838 w 1426266"/>
                  <a:gd name="connsiteY16" fmla="*/ 16227 h 267869"/>
                  <a:gd name="connsiteX17" fmla="*/ 1421115 w 1426266"/>
                  <a:gd name="connsiteY17" fmla="*/ 142608 h 267869"/>
                  <a:gd name="connsiteX18" fmla="*/ 1421110 w 1426266"/>
                  <a:gd name="connsiteY18" fmla="*/ 267869 h 267869"/>
                  <a:gd name="connsiteX0" fmla="*/ 6551 w 1421110"/>
                  <a:gd name="connsiteY0" fmla="*/ 264181 h 267869"/>
                  <a:gd name="connsiteX1" fmla="*/ 2498 w 1421110"/>
                  <a:gd name="connsiteY1" fmla="*/ 109451 h 267869"/>
                  <a:gd name="connsiteX2" fmla="*/ 59242 w 1421110"/>
                  <a:gd name="connsiteY2" fmla="*/ 14 h 267869"/>
                  <a:gd name="connsiteX3" fmla="*/ 144359 w 1421110"/>
                  <a:gd name="connsiteY3" fmla="*/ 101344 h 267869"/>
                  <a:gd name="connsiteX4" fmla="*/ 249742 w 1421110"/>
                  <a:gd name="connsiteY4" fmla="*/ 12173 h 267869"/>
                  <a:gd name="connsiteX5" fmla="*/ 351072 w 1421110"/>
                  <a:gd name="connsiteY5" fmla="*/ 105397 h 267869"/>
                  <a:gd name="connsiteX6" fmla="*/ 440242 w 1421110"/>
                  <a:gd name="connsiteY6" fmla="*/ 16227 h 267869"/>
                  <a:gd name="connsiteX7" fmla="*/ 541572 w 1421110"/>
                  <a:gd name="connsiteY7" fmla="*/ 101344 h 267869"/>
                  <a:gd name="connsiteX8" fmla="*/ 642902 w 1421110"/>
                  <a:gd name="connsiteY8" fmla="*/ 12173 h 267869"/>
                  <a:gd name="connsiteX9" fmla="*/ 707753 w 1421110"/>
                  <a:gd name="connsiteY9" fmla="*/ 105397 h 267869"/>
                  <a:gd name="connsiteX10" fmla="*/ 800976 w 1421110"/>
                  <a:gd name="connsiteY10" fmla="*/ 16227 h 267869"/>
                  <a:gd name="connsiteX11" fmla="*/ 898253 w 1421110"/>
                  <a:gd name="connsiteY11" fmla="*/ 109450 h 267869"/>
                  <a:gd name="connsiteX12" fmla="*/ 963104 w 1421110"/>
                  <a:gd name="connsiteY12" fmla="*/ 20280 h 267869"/>
                  <a:gd name="connsiteX13" fmla="*/ 1076593 w 1421110"/>
                  <a:gd name="connsiteY13" fmla="*/ 101344 h 267869"/>
                  <a:gd name="connsiteX14" fmla="*/ 1161710 w 1421110"/>
                  <a:gd name="connsiteY14" fmla="*/ 20280 h 267869"/>
                  <a:gd name="connsiteX15" fmla="*/ 1238721 w 1421110"/>
                  <a:gd name="connsiteY15" fmla="*/ 109450 h 267869"/>
                  <a:gd name="connsiteX16" fmla="*/ 1323838 w 1421110"/>
                  <a:gd name="connsiteY16" fmla="*/ 16227 h 267869"/>
                  <a:gd name="connsiteX17" fmla="*/ 1413010 w 1421110"/>
                  <a:gd name="connsiteY17" fmla="*/ 150897 h 267869"/>
                  <a:gd name="connsiteX18" fmla="*/ 1421110 w 1421110"/>
                  <a:gd name="connsiteY18" fmla="*/ 267869 h 26786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</a:cxnLst>
                <a:rect l="l" t="t" r="r" b="b"/>
                <a:pathLst>
                  <a:path w="1421110" h="267869">
                    <a:moveTo>
                      <a:pt x="6551" y="264181"/>
                    </a:moveTo>
                    <a:cubicBezTo>
                      <a:pt x="11280" y="243919"/>
                      <a:pt x="-6284" y="153479"/>
                      <a:pt x="2498" y="109451"/>
                    </a:cubicBezTo>
                    <a:cubicBezTo>
                      <a:pt x="11280" y="65423"/>
                      <a:pt x="35599" y="1365"/>
                      <a:pt x="59242" y="14"/>
                    </a:cubicBezTo>
                    <a:cubicBezTo>
                      <a:pt x="82885" y="-1337"/>
                      <a:pt x="112609" y="99318"/>
                      <a:pt x="144359" y="101344"/>
                    </a:cubicBezTo>
                    <a:cubicBezTo>
                      <a:pt x="176109" y="103370"/>
                      <a:pt x="215290" y="11498"/>
                      <a:pt x="249742" y="12173"/>
                    </a:cubicBezTo>
                    <a:cubicBezTo>
                      <a:pt x="284194" y="12848"/>
                      <a:pt x="319322" y="104721"/>
                      <a:pt x="351072" y="105397"/>
                    </a:cubicBezTo>
                    <a:cubicBezTo>
                      <a:pt x="382822" y="106073"/>
                      <a:pt x="408492" y="16902"/>
                      <a:pt x="440242" y="16227"/>
                    </a:cubicBezTo>
                    <a:cubicBezTo>
                      <a:pt x="471992" y="15552"/>
                      <a:pt x="507795" y="102020"/>
                      <a:pt x="541572" y="101344"/>
                    </a:cubicBezTo>
                    <a:cubicBezTo>
                      <a:pt x="575349" y="100668"/>
                      <a:pt x="615205" y="11498"/>
                      <a:pt x="642902" y="12173"/>
                    </a:cubicBezTo>
                    <a:cubicBezTo>
                      <a:pt x="670599" y="12848"/>
                      <a:pt x="681407" y="104721"/>
                      <a:pt x="707753" y="105397"/>
                    </a:cubicBezTo>
                    <a:cubicBezTo>
                      <a:pt x="734099" y="106073"/>
                      <a:pt x="769226" y="15552"/>
                      <a:pt x="800976" y="16227"/>
                    </a:cubicBezTo>
                    <a:cubicBezTo>
                      <a:pt x="832726" y="16902"/>
                      <a:pt x="871232" y="108775"/>
                      <a:pt x="898253" y="109450"/>
                    </a:cubicBezTo>
                    <a:cubicBezTo>
                      <a:pt x="925274" y="110126"/>
                      <a:pt x="933381" y="21631"/>
                      <a:pt x="963104" y="20280"/>
                    </a:cubicBezTo>
                    <a:cubicBezTo>
                      <a:pt x="992827" y="18929"/>
                      <a:pt x="1043492" y="101344"/>
                      <a:pt x="1076593" y="101344"/>
                    </a:cubicBezTo>
                    <a:cubicBezTo>
                      <a:pt x="1109694" y="101344"/>
                      <a:pt x="1134689" y="18929"/>
                      <a:pt x="1161710" y="20280"/>
                    </a:cubicBezTo>
                    <a:cubicBezTo>
                      <a:pt x="1188731" y="21631"/>
                      <a:pt x="1211700" y="110126"/>
                      <a:pt x="1238721" y="109450"/>
                    </a:cubicBezTo>
                    <a:cubicBezTo>
                      <a:pt x="1265742" y="108775"/>
                      <a:pt x="1294790" y="9319"/>
                      <a:pt x="1323838" y="16227"/>
                    </a:cubicBezTo>
                    <a:cubicBezTo>
                      <a:pt x="1352886" y="23135"/>
                      <a:pt x="1398824" y="108957"/>
                      <a:pt x="1413010" y="150897"/>
                    </a:cubicBezTo>
                    <a:cubicBezTo>
                      <a:pt x="1427196" y="192837"/>
                      <a:pt x="1415031" y="253900"/>
                      <a:pt x="1421110" y="267869"/>
                    </a:cubicBezTo>
                  </a:path>
                </a:pathLst>
              </a:custGeom>
              <a:solidFill>
                <a:schemeClr val="bg1">
                  <a:lumMod val="75000"/>
                </a:schemeClr>
              </a:solidFill>
              <a:ln w="952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8" name="Freeform 817">
                <a:extLst>
                  <a:ext uri="{FF2B5EF4-FFF2-40B4-BE49-F238E27FC236}">
                    <a16:creationId xmlns:a16="http://schemas.microsoft.com/office/drawing/2014/main" id="{00000000-0008-0000-0300-000032030000}"/>
                  </a:ext>
                </a:extLst>
              </xdr:cNvPr>
              <xdr:cNvSpPr/>
            </xdr:nvSpPr>
            <xdr:spPr>
              <a:xfrm>
                <a:off x="513468" y="35630288"/>
                <a:ext cx="1223063" cy="247421"/>
              </a:xfrm>
              <a:custGeom>
                <a:avLst/>
                <a:gdLst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748299 w 1901927"/>
                  <a:gd name="connsiteY4" fmla="*/ 193573 h 316476"/>
                  <a:gd name="connsiteX5" fmla="*/ 1898855 w 1901927"/>
                  <a:gd name="connsiteY5" fmla="*/ 193573 h 316476"/>
                  <a:gd name="connsiteX6" fmla="*/ 1898855 w 1901927"/>
                  <a:gd name="connsiteY6" fmla="*/ 316476 h 316476"/>
                  <a:gd name="connsiteX7" fmla="*/ 1901927 w 1901927"/>
                  <a:gd name="connsiteY7" fmla="*/ 310331 h 316476"/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898855 w 1901927"/>
                  <a:gd name="connsiteY4" fmla="*/ 193573 h 316476"/>
                  <a:gd name="connsiteX5" fmla="*/ 1898855 w 1901927"/>
                  <a:gd name="connsiteY5" fmla="*/ 316476 h 316476"/>
                  <a:gd name="connsiteX6" fmla="*/ 1901927 w 1901927"/>
                  <a:gd name="connsiteY6" fmla="*/ 310331 h 3164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901927" h="316476">
                    <a:moveTo>
                      <a:pt x="0" y="310331"/>
                    </a:moveTo>
                    <a:lnTo>
                      <a:pt x="0" y="193573"/>
                    </a:lnTo>
                    <a:lnTo>
                      <a:pt x="344129" y="0"/>
                    </a:lnTo>
                    <a:lnTo>
                      <a:pt x="1554726" y="0"/>
                    </a:lnTo>
                    <a:lnTo>
                      <a:pt x="1898855" y="193573"/>
                    </a:lnTo>
                    <a:lnTo>
                      <a:pt x="1898855" y="316476"/>
                    </a:lnTo>
                    <a:lnTo>
                      <a:pt x="1901927" y="310331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19" name="Rectangle 818">
                <a:extLst>
                  <a:ext uri="{FF2B5EF4-FFF2-40B4-BE49-F238E27FC236}">
                    <a16:creationId xmlns:a16="http://schemas.microsoft.com/office/drawing/2014/main" id="{00000000-0008-0000-0300-000033030000}"/>
                  </a:ext>
                </a:extLst>
              </xdr:cNvPr>
              <xdr:cNvSpPr/>
            </xdr:nvSpPr>
            <xdr:spPr>
              <a:xfrm>
                <a:off x="844831" y="36386096"/>
                <a:ext cx="560335" cy="19063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0" name="Rectangle 819">
                <a:extLst>
                  <a:ext uri="{FF2B5EF4-FFF2-40B4-BE49-F238E27FC236}">
                    <a16:creationId xmlns:a16="http://schemas.microsoft.com/office/drawing/2014/main" id="{00000000-0008-0000-0300-000034030000}"/>
                  </a:ext>
                </a:extLst>
              </xdr:cNvPr>
              <xdr:cNvSpPr/>
            </xdr:nvSpPr>
            <xdr:spPr>
              <a:xfrm>
                <a:off x="470858" y="35861128"/>
                <a:ext cx="1308281" cy="523236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1" name="Rectangle 820">
                <a:extLst>
                  <a:ext uri="{FF2B5EF4-FFF2-40B4-BE49-F238E27FC236}">
                    <a16:creationId xmlns:a16="http://schemas.microsoft.com/office/drawing/2014/main" id="{00000000-0008-0000-0300-000035030000}"/>
                  </a:ext>
                </a:extLst>
              </xdr:cNvPr>
              <xdr:cNvSpPr/>
            </xdr:nvSpPr>
            <xdr:spPr>
              <a:xfrm>
                <a:off x="521350" y="35915881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2" name="Rectangle 821">
                <a:extLst>
                  <a:ext uri="{FF2B5EF4-FFF2-40B4-BE49-F238E27FC236}">
                    <a16:creationId xmlns:a16="http://schemas.microsoft.com/office/drawing/2014/main" id="{00000000-0008-0000-0300-000036030000}"/>
                  </a:ext>
                </a:extLst>
              </xdr:cNvPr>
              <xdr:cNvSpPr/>
            </xdr:nvSpPr>
            <xdr:spPr>
              <a:xfrm>
                <a:off x="521350" y="36008750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3" name="Rectangle 822">
                <a:extLst>
                  <a:ext uri="{FF2B5EF4-FFF2-40B4-BE49-F238E27FC236}">
                    <a16:creationId xmlns:a16="http://schemas.microsoft.com/office/drawing/2014/main" id="{00000000-0008-0000-0300-000037030000}"/>
                  </a:ext>
                </a:extLst>
              </xdr:cNvPr>
              <xdr:cNvSpPr/>
            </xdr:nvSpPr>
            <xdr:spPr>
              <a:xfrm>
                <a:off x="521350" y="36101619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4" name="Rectangle 823">
                <a:extLst>
                  <a:ext uri="{FF2B5EF4-FFF2-40B4-BE49-F238E27FC236}">
                    <a16:creationId xmlns:a16="http://schemas.microsoft.com/office/drawing/2014/main" id="{00000000-0008-0000-0300-000038030000}"/>
                  </a:ext>
                </a:extLst>
              </xdr:cNvPr>
              <xdr:cNvSpPr/>
            </xdr:nvSpPr>
            <xdr:spPr>
              <a:xfrm>
                <a:off x="521350" y="36194488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25" name="Rectangle 824">
                <a:extLst>
                  <a:ext uri="{FF2B5EF4-FFF2-40B4-BE49-F238E27FC236}">
                    <a16:creationId xmlns:a16="http://schemas.microsoft.com/office/drawing/2014/main" id="{00000000-0008-0000-0300-000039030000}"/>
                  </a:ext>
                </a:extLst>
              </xdr:cNvPr>
              <xdr:cNvSpPr/>
            </xdr:nvSpPr>
            <xdr:spPr>
              <a:xfrm>
                <a:off x="521350" y="36287356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806" name="Group 805">
              <a:extLst>
                <a:ext uri="{FF2B5EF4-FFF2-40B4-BE49-F238E27FC236}">
                  <a16:creationId xmlns:a16="http://schemas.microsoft.com/office/drawing/2014/main" id="{00000000-0008-0000-0300-000026030000}"/>
                </a:ext>
              </a:extLst>
            </xdr:cNvPr>
            <xdr:cNvGrpSpPr/>
          </xdr:nvGrpSpPr>
          <xdr:grpSpPr>
            <a:xfrm>
              <a:off x="732233" y="32599313"/>
              <a:ext cx="642939" cy="168555"/>
              <a:chOff x="3305175" y="4676775"/>
              <a:chExt cx="1457325" cy="504825"/>
            </a:xfrm>
          </xdr:grpSpPr>
          <xdr:sp macro="" textlink="">
            <xdr:nvSpPr>
              <xdr:cNvPr id="807" name="Arc 806">
                <a:extLst>
                  <a:ext uri="{FF2B5EF4-FFF2-40B4-BE49-F238E27FC236}">
                    <a16:creationId xmlns:a16="http://schemas.microsoft.com/office/drawing/2014/main" id="{00000000-0008-0000-0300-000027030000}"/>
                  </a:ext>
                </a:extLst>
              </xdr:cNvPr>
              <xdr:cNvSpPr/>
            </xdr:nvSpPr>
            <xdr:spPr>
              <a:xfrm rot="10800000">
                <a:off x="3619500" y="46767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08" name="Arc 807">
                <a:extLst>
                  <a:ext uri="{FF2B5EF4-FFF2-40B4-BE49-F238E27FC236}">
                    <a16:creationId xmlns:a16="http://schemas.microsoft.com/office/drawing/2014/main" id="{00000000-0008-0000-0300-000028030000}"/>
                  </a:ext>
                </a:extLst>
              </xdr:cNvPr>
              <xdr:cNvSpPr/>
            </xdr:nvSpPr>
            <xdr:spPr>
              <a:xfrm rot="10800000">
                <a:off x="3543300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09" name="Arc 808">
                <a:extLst>
                  <a:ext uri="{FF2B5EF4-FFF2-40B4-BE49-F238E27FC236}">
                    <a16:creationId xmlns:a16="http://schemas.microsoft.com/office/drawing/2014/main" id="{00000000-0008-0000-0300-000029030000}"/>
                  </a:ext>
                </a:extLst>
              </xdr:cNvPr>
              <xdr:cNvSpPr/>
            </xdr:nvSpPr>
            <xdr:spPr>
              <a:xfrm rot="10800000">
                <a:off x="3562350" y="49625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0" name="Arc 809">
                <a:extLst>
                  <a:ext uri="{FF2B5EF4-FFF2-40B4-BE49-F238E27FC236}">
                    <a16:creationId xmlns:a16="http://schemas.microsoft.com/office/drawing/2014/main" id="{00000000-0008-0000-0300-00002A030000}"/>
                  </a:ext>
                </a:extLst>
              </xdr:cNvPr>
              <xdr:cNvSpPr/>
            </xdr:nvSpPr>
            <xdr:spPr>
              <a:xfrm rot="10800000">
                <a:off x="3305175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1" name="Arc 810">
                <a:extLst>
                  <a:ext uri="{FF2B5EF4-FFF2-40B4-BE49-F238E27FC236}">
                    <a16:creationId xmlns:a16="http://schemas.microsoft.com/office/drawing/2014/main" id="{00000000-0008-0000-0300-00002B030000}"/>
                  </a:ext>
                </a:extLst>
              </xdr:cNvPr>
              <xdr:cNvSpPr/>
            </xdr:nvSpPr>
            <xdr:spPr>
              <a:xfrm rot="9829482">
                <a:off x="4095749" y="4857751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2" name="Arc 811">
                <a:extLst>
                  <a:ext uri="{FF2B5EF4-FFF2-40B4-BE49-F238E27FC236}">
                    <a16:creationId xmlns:a16="http://schemas.microsoft.com/office/drawing/2014/main" id="{00000000-0008-0000-0300-00002C030000}"/>
                  </a:ext>
                </a:extLst>
              </xdr:cNvPr>
              <xdr:cNvSpPr/>
            </xdr:nvSpPr>
            <xdr:spPr>
              <a:xfrm rot="9861198">
                <a:off x="3867150" y="49244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3" name="Arc 812">
                <a:extLst>
                  <a:ext uri="{FF2B5EF4-FFF2-40B4-BE49-F238E27FC236}">
                    <a16:creationId xmlns:a16="http://schemas.microsoft.com/office/drawing/2014/main" id="{00000000-0008-0000-0300-00002D030000}"/>
                  </a:ext>
                </a:extLst>
              </xdr:cNvPr>
              <xdr:cNvSpPr/>
            </xdr:nvSpPr>
            <xdr:spPr>
              <a:xfrm rot="10800000" flipH="1">
                <a:off x="3609975" y="47339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4" name="Arc 813">
                <a:extLst>
                  <a:ext uri="{FF2B5EF4-FFF2-40B4-BE49-F238E27FC236}">
                    <a16:creationId xmlns:a16="http://schemas.microsoft.com/office/drawing/2014/main" id="{00000000-0008-0000-0300-00002E030000}"/>
                  </a:ext>
                </a:extLst>
              </xdr:cNvPr>
              <xdr:cNvSpPr/>
            </xdr:nvSpPr>
            <xdr:spPr>
              <a:xfrm rot="10800000" flipH="1">
                <a:off x="3876675" y="47625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5" name="Arc 814">
                <a:extLst>
                  <a:ext uri="{FF2B5EF4-FFF2-40B4-BE49-F238E27FC236}">
                    <a16:creationId xmlns:a16="http://schemas.microsoft.com/office/drawing/2014/main" id="{00000000-0008-0000-0300-00002F030000}"/>
                  </a:ext>
                </a:extLst>
              </xdr:cNvPr>
              <xdr:cNvSpPr/>
            </xdr:nvSpPr>
            <xdr:spPr>
              <a:xfrm rot="10800000" flipH="1">
                <a:off x="4114800" y="48387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816" name="Arc 815">
                <a:extLst>
                  <a:ext uri="{FF2B5EF4-FFF2-40B4-BE49-F238E27FC236}">
                    <a16:creationId xmlns:a16="http://schemas.microsoft.com/office/drawing/2014/main" id="{00000000-0008-0000-0300-000030030000}"/>
                  </a:ext>
                </a:extLst>
              </xdr:cNvPr>
              <xdr:cNvSpPr/>
            </xdr:nvSpPr>
            <xdr:spPr>
              <a:xfrm rot="10800000" flipH="1">
                <a:off x="4191000" y="470535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</xdr:grpSp>
      </xdr:grpSp>
    </xdr:grpSp>
    <xdr:clientData/>
  </xdr:twoCellAnchor>
  <xdr:oneCellAnchor>
    <xdr:from>
      <xdr:col>6</xdr:col>
      <xdr:colOff>101203</xdr:colOff>
      <xdr:row>113</xdr:row>
      <xdr:rowOff>0</xdr:rowOff>
    </xdr:from>
    <xdr:ext cx="745269" cy="561885"/>
    <xdr:sp macro="" textlink="">
      <xdr:nvSpPr>
        <xdr:cNvPr id="834" name="TextBox 833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SpPr txBox="1"/>
      </xdr:nvSpPr>
      <xdr:spPr>
        <a:xfrm>
          <a:off x="2458641" y="18222516"/>
          <a:ext cx="745269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Condenser</a:t>
          </a:r>
        </a:p>
        <a:p>
          <a:r>
            <a:rPr lang="en-US" sz="1000"/>
            <a:t>Heat </a:t>
          </a:r>
          <a:br>
            <a:rPr lang="en-US" sz="1000"/>
          </a:br>
          <a:r>
            <a:rPr lang="en-US" sz="1000"/>
            <a:t>Rejected:</a:t>
          </a:r>
        </a:p>
      </xdr:txBody>
    </xdr:sp>
    <xdr:clientData/>
  </xdr:oneCellAnchor>
  <xdr:oneCellAnchor>
    <xdr:from>
      <xdr:col>5</xdr:col>
      <xdr:colOff>178594</xdr:colOff>
      <xdr:row>128</xdr:row>
      <xdr:rowOff>5953</xdr:rowOff>
    </xdr:from>
    <xdr:ext cx="745269" cy="561885"/>
    <xdr:sp macro="" textlink="">
      <xdr:nvSpPr>
        <xdr:cNvPr id="835" name="TextBox 834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SpPr txBox="1"/>
      </xdr:nvSpPr>
      <xdr:spPr>
        <a:xfrm>
          <a:off x="2331244" y="20789503"/>
          <a:ext cx="745269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Condenser</a:t>
          </a:r>
        </a:p>
        <a:p>
          <a:r>
            <a:rPr lang="en-US" sz="1000"/>
            <a:t>Heat </a:t>
          </a:r>
          <a:br>
            <a:rPr lang="en-US" sz="1000"/>
          </a:br>
          <a:r>
            <a:rPr lang="en-US" sz="1000"/>
            <a:t>Rejected:</a:t>
          </a:r>
        </a:p>
      </xdr:txBody>
    </xdr:sp>
    <xdr:clientData/>
  </xdr:oneCellAnchor>
  <xdr:twoCellAnchor>
    <xdr:from>
      <xdr:col>17</xdr:col>
      <xdr:colOff>89296</xdr:colOff>
      <xdr:row>131</xdr:row>
      <xdr:rowOff>17860</xdr:rowOff>
    </xdr:from>
    <xdr:to>
      <xdr:col>18</xdr:col>
      <xdr:colOff>10075</xdr:colOff>
      <xdr:row>131</xdr:row>
      <xdr:rowOff>21360</xdr:rowOff>
    </xdr:to>
    <xdr:cxnSp macro="">
      <xdr:nvCxnSpPr>
        <xdr:cNvPr id="837" name="Straight Arrow Connector 836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CxnSpPr/>
      </xdr:nvCxnSpPr>
      <xdr:spPr>
        <a:xfrm flipV="1">
          <a:off x="5528071" y="21287185"/>
          <a:ext cx="187479" cy="3500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228601</xdr:colOff>
      <xdr:row>137</xdr:row>
      <xdr:rowOff>137946</xdr:rowOff>
    </xdr:from>
    <xdr:to>
      <xdr:col>24</xdr:col>
      <xdr:colOff>9526</xdr:colOff>
      <xdr:row>152</xdr:row>
      <xdr:rowOff>111122</xdr:rowOff>
    </xdr:to>
    <xdr:sp macro="" textlink="">
      <xdr:nvSpPr>
        <xdr:cNvPr id="845" name="Rectangle 844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SpPr/>
      </xdr:nvSpPr>
      <xdr:spPr>
        <a:xfrm>
          <a:off x="2601192" y="22045446"/>
          <a:ext cx="4578061" cy="2311131"/>
        </a:xfrm>
        <a:prstGeom prst="rect">
          <a:avLst/>
        </a:prstGeom>
        <a:noFill/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151110</xdr:colOff>
      <xdr:row>147</xdr:row>
      <xdr:rowOff>111184</xdr:rowOff>
    </xdr:from>
    <xdr:to>
      <xdr:col>16</xdr:col>
      <xdr:colOff>220362</xdr:colOff>
      <xdr:row>149</xdr:row>
      <xdr:rowOff>33079</xdr:rowOff>
    </xdr:to>
    <xdr:grpSp>
      <xdr:nvGrpSpPr>
        <xdr:cNvPr id="846" name="Group 845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GrpSpPr>
          <a:grpSpLocks noChangeAspect="1"/>
        </xdr:cNvGrpSpPr>
      </xdr:nvGrpSpPr>
      <xdr:grpSpPr>
        <a:xfrm flipH="1">
          <a:off x="5132685" y="24409459"/>
          <a:ext cx="297852" cy="245745"/>
          <a:chOff x="4171950" y="8391525"/>
          <a:chExt cx="1400176" cy="1142479"/>
        </a:xfrm>
      </xdr:grpSpPr>
      <xdr:sp macro="" textlink="">
        <xdr:nvSpPr>
          <xdr:cNvPr id="934" name="Pie 933">
            <a:extLst>
              <a:ext uri="{FF2B5EF4-FFF2-40B4-BE49-F238E27FC236}">
                <a16:creationId xmlns:a16="http://schemas.microsoft.com/office/drawing/2014/main" id="{00000000-0008-0000-0300-0000A6030000}"/>
              </a:ext>
            </a:extLst>
          </xdr:cNvPr>
          <xdr:cNvSpPr/>
        </xdr:nvSpPr>
        <xdr:spPr>
          <a:xfrm>
            <a:off x="4171950" y="8391529"/>
            <a:ext cx="1085851" cy="1142475"/>
          </a:xfrm>
          <a:prstGeom prst="pie">
            <a:avLst/>
          </a:prstGeom>
          <a:solidFill>
            <a:schemeClr val="bg1">
              <a:lumMod val="95000"/>
            </a:schemeClr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935" name="Rectangle 934">
            <a:extLst>
              <a:ext uri="{FF2B5EF4-FFF2-40B4-BE49-F238E27FC236}">
                <a16:creationId xmlns:a16="http://schemas.microsoft.com/office/drawing/2014/main" id="{00000000-0008-0000-0300-0000A7030000}"/>
              </a:ext>
            </a:extLst>
          </xdr:cNvPr>
          <xdr:cNvSpPr/>
        </xdr:nvSpPr>
        <xdr:spPr>
          <a:xfrm>
            <a:off x="4695826" y="8391525"/>
            <a:ext cx="876300" cy="571500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936" name="Rectangle 935">
            <a:extLst>
              <a:ext uri="{FF2B5EF4-FFF2-40B4-BE49-F238E27FC236}">
                <a16:creationId xmlns:a16="http://schemas.microsoft.com/office/drawing/2014/main" id="{00000000-0008-0000-0300-0000A8030000}"/>
              </a:ext>
            </a:extLst>
          </xdr:cNvPr>
          <xdr:cNvSpPr/>
        </xdr:nvSpPr>
        <xdr:spPr>
          <a:xfrm>
            <a:off x="4648203" y="8435849"/>
            <a:ext cx="380998" cy="59055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100109</xdr:colOff>
      <xdr:row>147</xdr:row>
      <xdr:rowOff>141612</xdr:rowOff>
    </xdr:from>
    <xdr:to>
      <xdr:col>14</xdr:col>
      <xdr:colOff>177316</xdr:colOff>
      <xdr:row>148</xdr:row>
      <xdr:rowOff>39466</xdr:rowOff>
    </xdr:to>
    <xdr:sp macro="" textlink="">
      <xdr:nvSpPr>
        <xdr:cNvPr id="847" name="Rectangle 846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SpPr/>
      </xdr:nvSpPr>
      <xdr:spPr>
        <a:xfrm>
          <a:off x="4853084" y="24001737"/>
          <a:ext cx="77207" cy="597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23531</xdr:colOff>
      <xdr:row>148</xdr:row>
      <xdr:rowOff>6859</xdr:rowOff>
    </xdr:from>
    <xdr:to>
      <xdr:col>15</xdr:col>
      <xdr:colOff>150489</xdr:colOff>
      <xdr:row>148</xdr:row>
      <xdr:rowOff>6859</xdr:rowOff>
    </xdr:to>
    <xdr:cxnSp macro="">
      <xdr:nvCxnSpPr>
        <xdr:cNvPr id="848" name="Straight Arrow Connector 847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CxnSpPr/>
      </xdr:nvCxnSpPr>
      <xdr:spPr>
        <a:xfrm flipH="1">
          <a:off x="4319306" y="24028909"/>
          <a:ext cx="812758" cy="0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194681</xdr:colOff>
      <xdr:row>137</xdr:row>
      <xdr:rowOff>95250</xdr:rowOff>
    </xdr:from>
    <xdr:to>
      <xdr:col>22</xdr:col>
      <xdr:colOff>268485</xdr:colOff>
      <xdr:row>147</xdr:row>
      <xdr:rowOff>111879</xdr:rowOff>
    </xdr:to>
    <xdr:grpSp>
      <xdr:nvGrpSpPr>
        <xdr:cNvPr id="851" name="Group 850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GrpSpPr/>
      </xdr:nvGrpSpPr>
      <xdr:grpSpPr>
        <a:xfrm>
          <a:off x="5404856" y="22736175"/>
          <a:ext cx="1502554" cy="1673979"/>
          <a:chOff x="7364482" y="18194394"/>
          <a:chExt cx="1891519" cy="2046231"/>
        </a:xfrm>
      </xdr:grpSpPr>
      <xdr:sp macro="" textlink="">
        <xdr:nvSpPr>
          <xdr:cNvPr id="877" name="Freeform 876">
            <a:extLst>
              <a:ext uri="{FF2B5EF4-FFF2-40B4-BE49-F238E27FC236}">
                <a16:creationId xmlns:a16="http://schemas.microsoft.com/office/drawing/2014/main" id="{00000000-0008-0000-0300-00006D030000}"/>
              </a:ext>
            </a:extLst>
          </xdr:cNvPr>
          <xdr:cNvSpPr/>
        </xdr:nvSpPr>
        <xdr:spPr>
          <a:xfrm flipH="1">
            <a:off x="7364482" y="19177328"/>
            <a:ext cx="1891519" cy="1063297"/>
          </a:xfrm>
          <a:custGeom>
            <a:avLst/>
            <a:gdLst>
              <a:gd name="connsiteX0" fmla="*/ 0 w 1476375"/>
              <a:gd name="connsiteY0" fmla="*/ 1143000 h 1152525"/>
              <a:gd name="connsiteX1" fmla="*/ 0 w 1476375"/>
              <a:gd name="connsiteY1" fmla="*/ 0 h 1152525"/>
              <a:gd name="connsiteX2" fmla="*/ 1476375 w 1476375"/>
              <a:gd name="connsiteY2" fmla="*/ 0 h 1152525"/>
              <a:gd name="connsiteX3" fmla="*/ 1476375 w 1476375"/>
              <a:gd name="connsiteY3" fmla="*/ 1152525 h 1152525"/>
              <a:gd name="connsiteX4" fmla="*/ 1352550 w 1476375"/>
              <a:gd name="connsiteY4" fmla="*/ 1152525 h 1152525"/>
              <a:gd name="connsiteX5" fmla="*/ 1352550 w 1476375"/>
              <a:gd name="connsiteY5" fmla="*/ 381000 h 1152525"/>
              <a:gd name="connsiteX6" fmla="*/ 133350 w 1476375"/>
              <a:gd name="connsiteY6" fmla="*/ 381000 h 1152525"/>
              <a:gd name="connsiteX7" fmla="*/ 133350 w 1476375"/>
              <a:gd name="connsiteY7" fmla="*/ 1143000 h 1152525"/>
              <a:gd name="connsiteX8" fmla="*/ 0 w 1476375"/>
              <a:gd name="connsiteY8" fmla="*/ 1143000 h 1152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476375" h="1152525">
                <a:moveTo>
                  <a:pt x="0" y="1143000"/>
                </a:moveTo>
                <a:lnTo>
                  <a:pt x="0" y="0"/>
                </a:lnTo>
                <a:lnTo>
                  <a:pt x="1476375" y="0"/>
                </a:lnTo>
                <a:lnTo>
                  <a:pt x="1476375" y="1152525"/>
                </a:lnTo>
                <a:lnTo>
                  <a:pt x="1352550" y="1152525"/>
                </a:lnTo>
                <a:lnTo>
                  <a:pt x="1352550" y="381000"/>
                </a:lnTo>
                <a:lnTo>
                  <a:pt x="133350" y="381000"/>
                </a:lnTo>
                <a:lnTo>
                  <a:pt x="133350" y="1143000"/>
                </a:lnTo>
                <a:lnTo>
                  <a:pt x="0" y="1143000"/>
                </a:lnTo>
                <a:close/>
              </a:path>
            </a:pathLst>
          </a:custGeom>
          <a:solidFill>
            <a:schemeClr val="bg1"/>
          </a:solidFill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78" name="Group 877">
            <a:extLst>
              <a:ext uri="{FF2B5EF4-FFF2-40B4-BE49-F238E27FC236}">
                <a16:creationId xmlns:a16="http://schemas.microsoft.com/office/drawing/2014/main" id="{00000000-0008-0000-0300-00006E030000}"/>
              </a:ext>
            </a:extLst>
          </xdr:cNvPr>
          <xdr:cNvGrpSpPr/>
        </xdr:nvGrpSpPr>
        <xdr:grpSpPr>
          <a:xfrm rot="1813377">
            <a:off x="8314821" y="19278140"/>
            <a:ext cx="758687" cy="169379"/>
            <a:chOff x="8177094" y="17979452"/>
            <a:chExt cx="684000" cy="242928"/>
          </a:xfrm>
        </xdr:grpSpPr>
        <xdr:grpSp>
          <xdr:nvGrpSpPr>
            <xdr:cNvPr id="915" name="Group 914">
              <a:extLst>
                <a:ext uri="{FF2B5EF4-FFF2-40B4-BE49-F238E27FC236}">
                  <a16:creationId xmlns:a16="http://schemas.microsoft.com/office/drawing/2014/main" id="{00000000-0008-0000-0300-000093030000}"/>
                </a:ext>
              </a:extLst>
            </xdr:cNvPr>
            <xdr:cNvGrpSpPr/>
          </xdr:nvGrpSpPr>
          <xdr:grpSpPr>
            <a:xfrm rot="19140000" flipH="1">
              <a:off x="8239385" y="17979452"/>
              <a:ext cx="558989" cy="242928"/>
              <a:chOff x="8016586" y="190500"/>
              <a:chExt cx="783768" cy="198118"/>
            </a:xfrm>
          </xdr:grpSpPr>
          <xdr:cxnSp macro="">
            <xdr:nvCxnSpPr>
              <xdr:cNvPr id="919" name="Straight Connector 918">
                <a:extLst>
                  <a:ext uri="{FF2B5EF4-FFF2-40B4-BE49-F238E27FC236}">
                    <a16:creationId xmlns:a16="http://schemas.microsoft.com/office/drawing/2014/main" id="{00000000-0008-0000-0300-000097030000}"/>
                  </a:ext>
                </a:extLst>
              </xdr:cNvPr>
              <xdr:cNvCxnSpPr/>
            </xdr:nvCxnSpPr>
            <xdr:spPr>
              <a:xfrm>
                <a:off x="8240518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0" name="Straight Connector 919">
                <a:extLst>
                  <a:ext uri="{FF2B5EF4-FFF2-40B4-BE49-F238E27FC236}">
                    <a16:creationId xmlns:a16="http://schemas.microsoft.com/office/drawing/2014/main" id="{00000000-0008-0000-0300-000098030000}"/>
                  </a:ext>
                </a:extLst>
              </xdr:cNvPr>
              <xdr:cNvCxnSpPr/>
            </xdr:nvCxnSpPr>
            <xdr:spPr>
              <a:xfrm>
                <a:off x="8352484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1" name="Straight Connector 920">
                <a:extLst>
                  <a:ext uri="{FF2B5EF4-FFF2-40B4-BE49-F238E27FC236}">
                    <a16:creationId xmlns:a16="http://schemas.microsoft.com/office/drawing/2014/main" id="{00000000-0008-0000-0300-000099030000}"/>
                  </a:ext>
                </a:extLst>
              </xdr:cNvPr>
              <xdr:cNvCxnSpPr/>
            </xdr:nvCxnSpPr>
            <xdr:spPr>
              <a:xfrm>
                <a:off x="8016586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2" name="Straight Connector 921">
                <a:extLst>
                  <a:ext uri="{FF2B5EF4-FFF2-40B4-BE49-F238E27FC236}">
                    <a16:creationId xmlns:a16="http://schemas.microsoft.com/office/drawing/2014/main" id="{00000000-0008-0000-0300-00009A030000}"/>
                  </a:ext>
                </a:extLst>
              </xdr:cNvPr>
              <xdr:cNvCxnSpPr/>
            </xdr:nvCxnSpPr>
            <xdr:spPr>
              <a:xfrm>
                <a:off x="8128552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3" name="Straight Connector 922">
                <a:extLst>
                  <a:ext uri="{FF2B5EF4-FFF2-40B4-BE49-F238E27FC236}">
                    <a16:creationId xmlns:a16="http://schemas.microsoft.com/office/drawing/2014/main" id="{00000000-0008-0000-0300-00009B030000}"/>
                  </a:ext>
                </a:extLst>
              </xdr:cNvPr>
              <xdr:cNvCxnSpPr/>
            </xdr:nvCxnSpPr>
            <xdr:spPr>
              <a:xfrm>
                <a:off x="8296501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4" name="Straight Connector 923">
                <a:extLst>
                  <a:ext uri="{FF2B5EF4-FFF2-40B4-BE49-F238E27FC236}">
                    <a16:creationId xmlns:a16="http://schemas.microsoft.com/office/drawing/2014/main" id="{00000000-0008-0000-0300-00009C030000}"/>
                  </a:ext>
                </a:extLst>
              </xdr:cNvPr>
              <xdr:cNvCxnSpPr/>
            </xdr:nvCxnSpPr>
            <xdr:spPr>
              <a:xfrm>
                <a:off x="8520433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5" name="Straight Connector 924">
                <a:extLst>
                  <a:ext uri="{FF2B5EF4-FFF2-40B4-BE49-F238E27FC236}">
                    <a16:creationId xmlns:a16="http://schemas.microsoft.com/office/drawing/2014/main" id="{00000000-0008-0000-0300-00009D030000}"/>
                  </a:ext>
                </a:extLst>
              </xdr:cNvPr>
              <xdr:cNvCxnSpPr/>
            </xdr:nvCxnSpPr>
            <xdr:spPr>
              <a:xfrm>
                <a:off x="8800354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6" name="Straight Connector 925">
                <a:extLst>
                  <a:ext uri="{FF2B5EF4-FFF2-40B4-BE49-F238E27FC236}">
                    <a16:creationId xmlns:a16="http://schemas.microsoft.com/office/drawing/2014/main" id="{00000000-0008-0000-0300-00009E030000}"/>
                  </a:ext>
                </a:extLst>
              </xdr:cNvPr>
              <xdr:cNvCxnSpPr/>
            </xdr:nvCxnSpPr>
            <xdr:spPr>
              <a:xfrm>
                <a:off x="8632399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7" name="Straight Connector 926">
                <a:extLst>
                  <a:ext uri="{FF2B5EF4-FFF2-40B4-BE49-F238E27FC236}">
                    <a16:creationId xmlns:a16="http://schemas.microsoft.com/office/drawing/2014/main" id="{00000000-0008-0000-0300-00009F030000}"/>
                  </a:ext>
                </a:extLst>
              </xdr:cNvPr>
              <xdr:cNvCxnSpPr/>
            </xdr:nvCxnSpPr>
            <xdr:spPr>
              <a:xfrm>
                <a:off x="8576416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8" name="Straight Connector 927">
                <a:extLst>
                  <a:ext uri="{FF2B5EF4-FFF2-40B4-BE49-F238E27FC236}">
                    <a16:creationId xmlns:a16="http://schemas.microsoft.com/office/drawing/2014/main" id="{00000000-0008-0000-0300-0000A0030000}"/>
                  </a:ext>
                </a:extLst>
              </xdr:cNvPr>
              <xdr:cNvCxnSpPr/>
            </xdr:nvCxnSpPr>
            <xdr:spPr>
              <a:xfrm>
                <a:off x="8744365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29" name="Straight Connector 928">
                <a:extLst>
                  <a:ext uri="{FF2B5EF4-FFF2-40B4-BE49-F238E27FC236}">
                    <a16:creationId xmlns:a16="http://schemas.microsoft.com/office/drawing/2014/main" id="{00000000-0008-0000-0300-0000A1030000}"/>
                  </a:ext>
                </a:extLst>
              </xdr:cNvPr>
              <xdr:cNvCxnSpPr/>
            </xdr:nvCxnSpPr>
            <xdr:spPr>
              <a:xfrm>
                <a:off x="8464450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30" name="Straight Connector 929">
                <a:extLst>
                  <a:ext uri="{FF2B5EF4-FFF2-40B4-BE49-F238E27FC236}">
                    <a16:creationId xmlns:a16="http://schemas.microsoft.com/office/drawing/2014/main" id="{00000000-0008-0000-0300-0000A2030000}"/>
                  </a:ext>
                </a:extLst>
              </xdr:cNvPr>
              <xdr:cNvCxnSpPr/>
            </xdr:nvCxnSpPr>
            <xdr:spPr>
              <a:xfrm>
                <a:off x="8072569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31" name="Straight Connector 930">
                <a:extLst>
                  <a:ext uri="{FF2B5EF4-FFF2-40B4-BE49-F238E27FC236}">
                    <a16:creationId xmlns:a16="http://schemas.microsoft.com/office/drawing/2014/main" id="{00000000-0008-0000-0300-0000A3030000}"/>
                  </a:ext>
                </a:extLst>
              </xdr:cNvPr>
              <xdr:cNvCxnSpPr/>
            </xdr:nvCxnSpPr>
            <xdr:spPr>
              <a:xfrm>
                <a:off x="8184535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32" name="Straight Connector 931">
                <a:extLst>
                  <a:ext uri="{FF2B5EF4-FFF2-40B4-BE49-F238E27FC236}">
                    <a16:creationId xmlns:a16="http://schemas.microsoft.com/office/drawing/2014/main" id="{00000000-0008-0000-0300-0000A4030000}"/>
                  </a:ext>
                </a:extLst>
              </xdr:cNvPr>
              <xdr:cNvCxnSpPr/>
            </xdr:nvCxnSpPr>
            <xdr:spPr>
              <a:xfrm>
                <a:off x="8408467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33" name="Straight Connector 932">
                <a:extLst>
                  <a:ext uri="{FF2B5EF4-FFF2-40B4-BE49-F238E27FC236}">
                    <a16:creationId xmlns:a16="http://schemas.microsoft.com/office/drawing/2014/main" id="{00000000-0008-0000-0300-0000A5030000}"/>
                  </a:ext>
                </a:extLst>
              </xdr:cNvPr>
              <xdr:cNvCxnSpPr/>
            </xdr:nvCxnSpPr>
            <xdr:spPr>
              <a:xfrm>
                <a:off x="8688382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916" name="Group 915">
              <a:extLst>
                <a:ext uri="{FF2B5EF4-FFF2-40B4-BE49-F238E27FC236}">
                  <a16:creationId xmlns:a16="http://schemas.microsoft.com/office/drawing/2014/main" id="{00000000-0008-0000-0300-000094030000}"/>
                </a:ext>
              </a:extLst>
            </xdr:cNvPr>
            <xdr:cNvGrpSpPr/>
          </xdr:nvGrpSpPr>
          <xdr:grpSpPr>
            <a:xfrm>
              <a:off x="8177094" y="18046765"/>
              <a:ext cx="684000" cy="108000"/>
              <a:chOff x="8177094" y="18046765"/>
              <a:chExt cx="737838" cy="133800"/>
            </a:xfrm>
          </xdr:grpSpPr>
          <xdr:sp macro="" textlink="">
            <xdr:nvSpPr>
              <xdr:cNvPr id="917" name="Rectangle 916">
                <a:extLst>
                  <a:ext uri="{FF2B5EF4-FFF2-40B4-BE49-F238E27FC236}">
                    <a16:creationId xmlns:a16="http://schemas.microsoft.com/office/drawing/2014/main" id="{00000000-0008-0000-0300-000095030000}"/>
                  </a:ext>
                </a:extLst>
              </xdr:cNvPr>
              <xdr:cNvSpPr/>
            </xdr:nvSpPr>
            <xdr:spPr>
              <a:xfrm rot="19108541">
                <a:off x="8177094" y="18046765"/>
                <a:ext cx="737838" cy="13380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18" name="Rectangle 917">
                <a:extLst>
                  <a:ext uri="{FF2B5EF4-FFF2-40B4-BE49-F238E27FC236}">
                    <a16:creationId xmlns:a16="http://schemas.microsoft.com/office/drawing/2014/main" id="{00000000-0008-0000-0300-000096030000}"/>
                  </a:ext>
                </a:extLst>
              </xdr:cNvPr>
              <xdr:cNvSpPr/>
            </xdr:nvSpPr>
            <xdr:spPr>
              <a:xfrm rot="19108541">
                <a:off x="8247458" y="18093961"/>
                <a:ext cx="603103" cy="3900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</xdr:grpSp>
      <xdr:sp macro="" textlink="">
        <xdr:nvSpPr>
          <xdr:cNvPr id="879" name="Circular Arrow 878">
            <a:extLst>
              <a:ext uri="{FF2B5EF4-FFF2-40B4-BE49-F238E27FC236}">
                <a16:creationId xmlns:a16="http://schemas.microsoft.com/office/drawing/2014/main" id="{00000000-0008-0000-0300-00006F030000}"/>
              </a:ext>
            </a:extLst>
          </xdr:cNvPr>
          <xdr:cNvSpPr/>
        </xdr:nvSpPr>
        <xdr:spPr>
          <a:xfrm rot="15067733">
            <a:off x="8512190" y="19505923"/>
            <a:ext cx="715763" cy="319276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708342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80" name="Circular Arrow 879">
            <a:extLst>
              <a:ext uri="{FF2B5EF4-FFF2-40B4-BE49-F238E27FC236}">
                <a16:creationId xmlns:a16="http://schemas.microsoft.com/office/drawing/2014/main" id="{00000000-0008-0000-0300-000070030000}"/>
              </a:ext>
            </a:extLst>
          </xdr:cNvPr>
          <xdr:cNvSpPr/>
        </xdr:nvSpPr>
        <xdr:spPr>
          <a:xfrm rot="6532267" flipH="1">
            <a:off x="7341911" y="19507392"/>
            <a:ext cx="715763" cy="316337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0708342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81" name="TextBox 880">
            <a:extLst>
              <a:ext uri="{FF2B5EF4-FFF2-40B4-BE49-F238E27FC236}">
                <a16:creationId xmlns:a16="http://schemas.microsoft.com/office/drawing/2014/main" id="{00000000-0008-0000-0300-000071030000}"/>
              </a:ext>
            </a:extLst>
          </xdr:cNvPr>
          <xdr:cNvSpPr txBox="1"/>
        </xdr:nvSpPr>
        <xdr:spPr>
          <a:xfrm>
            <a:off x="7779481" y="19697077"/>
            <a:ext cx="352963" cy="2902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 </a:t>
            </a:r>
          </a:p>
        </xdr:txBody>
      </xdr:sp>
      <xdr:grpSp>
        <xdr:nvGrpSpPr>
          <xdr:cNvPr id="882" name="Group 881">
            <a:extLst>
              <a:ext uri="{FF2B5EF4-FFF2-40B4-BE49-F238E27FC236}">
                <a16:creationId xmlns:a16="http://schemas.microsoft.com/office/drawing/2014/main" id="{00000000-0008-0000-0300-000072030000}"/>
              </a:ext>
            </a:extLst>
          </xdr:cNvPr>
          <xdr:cNvGrpSpPr/>
        </xdr:nvGrpSpPr>
        <xdr:grpSpPr>
          <a:xfrm>
            <a:off x="7450207" y="18802350"/>
            <a:ext cx="903313" cy="720000"/>
            <a:chOff x="7086600" y="17907000"/>
            <a:chExt cx="593822" cy="478452"/>
          </a:xfrm>
        </xdr:grpSpPr>
        <xdr:sp macro="" textlink="">
          <xdr:nvSpPr>
            <xdr:cNvPr id="911" name="Arc 910">
              <a:extLst>
                <a:ext uri="{FF2B5EF4-FFF2-40B4-BE49-F238E27FC236}">
                  <a16:creationId xmlns:a16="http://schemas.microsoft.com/office/drawing/2014/main" id="{00000000-0008-0000-0300-00008F030000}"/>
                </a:ext>
              </a:extLst>
            </xdr:cNvPr>
            <xdr:cNvSpPr/>
          </xdr:nvSpPr>
          <xdr:spPr>
            <a:xfrm>
              <a:off x="7086600" y="17907000"/>
              <a:ext cx="135157" cy="478452"/>
            </a:xfrm>
            <a:prstGeom prst="arc">
              <a:avLst>
                <a:gd name="adj1" fmla="val 16200000"/>
                <a:gd name="adj2" fmla="val 21523043"/>
              </a:avLst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912" name="Arc 911">
              <a:extLst>
                <a:ext uri="{FF2B5EF4-FFF2-40B4-BE49-F238E27FC236}">
                  <a16:creationId xmlns:a16="http://schemas.microsoft.com/office/drawing/2014/main" id="{00000000-0008-0000-0300-000090030000}"/>
                </a:ext>
              </a:extLst>
            </xdr:cNvPr>
            <xdr:cNvSpPr/>
          </xdr:nvSpPr>
          <xdr:spPr>
            <a:xfrm flipH="1">
              <a:off x="7545265" y="17907000"/>
              <a:ext cx="135157" cy="478234"/>
            </a:xfrm>
            <a:prstGeom prst="arc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913" name="Straight Connector 912">
              <a:extLst>
                <a:ext uri="{FF2B5EF4-FFF2-40B4-BE49-F238E27FC236}">
                  <a16:creationId xmlns:a16="http://schemas.microsoft.com/office/drawing/2014/main" id="{00000000-0008-0000-0300-000091030000}"/>
                </a:ext>
              </a:extLst>
            </xdr:cNvPr>
            <xdr:cNvCxnSpPr/>
          </xdr:nvCxnSpPr>
          <xdr:spPr>
            <a:xfrm>
              <a:off x="7146706" y="17907000"/>
              <a:ext cx="472035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14" name="Freeform 913">
              <a:extLst>
                <a:ext uri="{FF2B5EF4-FFF2-40B4-BE49-F238E27FC236}">
                  <a16:creationId xmlns:a16="http://schemas.microsoft.com/office/drawing/2014/main" id="{00000000-0008-0000-0300-000092030000}"/>
                </a:ext>
              </a:extLst>
            </xdr:cNvPr>
            <xdr:cNvSpPr/>
          </xdr:nvSpPr>
          <xdr:spPr>
            <a:xfrm>
              <a:off x="7239504" y="18037092"/>
              <a:ext cx="291940" cy="29748"/>
            </a:xfrm>
            <a:custGeom>
              <a:avLst/>
              <a:gdLst>
                <a:gd name="connsiteX0" fmla="*/ 902994 w 1215516"/>
                <a:gd name="connsiteY0" fmla="*/ 3705 h 389315"/>
                <a:gd name="connsiteX1" fmla="*/ 259104 w 1215516"/>
                <a:gd name="connsiteY1" fmla="*/ 384705 h 389315"/>
                <a:gd name="connsiteX2" fmla="*/ 24 w 1215516"/>
                <a:gd name="connsiteY2" fmla="*/ 201825 h 389315"/>
                <a:gd name="connsiteX3" fmla="*/ 270534 w 1215516"/>
                <a:gd name="connsiteY3" fmla="*/ 7515 h 389315"/>
                <a:gd name="connsiteX4" fmla="*/ 922044 w 1215516"/>
                <a:gd name="connsiteY4" fmla="*/ 380895 h 389315"/>
                <a:gd name="connsiteX5" fmla="*/ 1215414 w 1215516"/>
                <a:gd name="connsiteY5" fmla="*/ 201825 h 389315"/>
                <a:gd name="connsiteX6" fmla="*/ 902994 w 1215516"/>
                <a:gd name="connsiteY6" fmla="*/ 3705 h 38931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215516" h="389315">
                  <a:moveTo>
                    <a:pt x="902994" y="3705"/>
                  </a:moveTo>
                  <a:cubicBezTo>
                    <a:pt x="743609" y="34185"/>
                    <a:pt x="409599" y="351685"/>
                    <a:pt x="259104" y="384705"/>
                  </a:cubicBezTo>
                  <a:cubicBezTo>
                    <a:pt x="108609" y="417725"/>
                    <a:pt x="-1881" y="264690"/>
                    <a:pt x="24" y="201825"/>
                  </a:cubicBezTo>
                  <a:cubicBezTo>
                    <a:pt x="1929" y="138960"/>
                    <a:pt x="116864" y="-22330"/>
                    <a:pt x="270534" y="7515"/>
                  </a:cubicBezTo>
                  <a:cubicBezTo>
                    <a:pt x="424204" y="37360"/>
                    <a:pt x="764564" y="348510"/>
                    <a:pt x="922044" y="380895"/>
                  </a:cubicBezTo>
                  <a:cubicBezTo>
                    <a:pt x="1079524" y="413280"/>
                    <a:pt x="1219859" y="264690"/>
                    <a:pt x="1215414" y="201825"/>
                  </a:cubicBezTo>
                  <a:cubicBezTo>
                    <a:pt x="1210969" y="138960"/>
                    <a:pt x="1062379" y="-26775"/>
                    <a:pt x="902994" y="3705"/>
                  </a:cubicBezTo>
                  <a:close/>
                </a:path>
              </a:pathLst>
            </a:cu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grpSp>
        <xdr:nvGrpSpPr>
          <xdr:cNvPr id="883" name="Group 882">
            <a:extLst>
              <a:ext uri="{FF2B5EF4-FFF2-40B4-BE49-F238E27FC236}">
                <a16:creationId xmlns:a16="http://schemas.microsoft.com/office/drawing/2014/main" id="{00000000-0008-0000-0300-000073030000}"/>
              </a:ext>
            </a:extLst>
          </xdr:cNvPr>
          <xdr:cNvGrpSpPr/>
        </xdr:nvGrpSpPr>
        <xdr:grpSpPr>
          <a:xfrm>
            <a:off x="8253620" y="18802350"/>
            <a:ext cx="903313" cy="720000"/>
            <a:chOff x="7086600" y="17907000"/>
            <a:chExt cx="593822" cy="478452"/>
          </a:xfrm>
        </xdr:grpSpPr>
        <xdr:sp macro="" textlink="">
          <xdr:nvSpPr>
            <xdr:cNvPr id="907" name="Arc 906">
              <a:extLst>
                <a:ext uri="{FF2B5EF4-FFF2-40B4-BE49-F238E27FC236}">
                  <a16:creationId xmlns:a16="http://schemas.microsoft.com/office/drawing/2014/main" id="{00000000-0008-0000-0300-00008B030000}"/>
                </a:ext>
              </a:extLst>
            </xdr:cNvPr>
            <xdr:cNvSpPr/>
          </xdr:nvSpPr>
          <xdr:spPr>
            <a:xfrm>
              <a:off x="7086600" y="17907000"/>
              <a:ext cx="135157" cy="478452"/>
            </a:xfrm>
            <a:prstGeom prst="arc">
              <a:avLst>
                <a:gd name="adj1" fmla="val 16200000"/>
                <a:gd name="adj2" fmla="val 21523043"/>
              </a:avLst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908" name="Arc 907">
              <a:extLst>
                <a:ext uri="{FF2B5EF4-FFF2-40B4-BE49-F238E27FC236}">
                  <a16:creationId xmlns:a16="http://schemas.microsoft.com/office/drawing/2014/main" id="{00000000-0008-0000-0300-00008C030000}"/>
                </a:ext>
              </a:extLst>
            </xdr:cNvPr>
            <xdr:cNvSpPr/>
          </xdr:nvSpPr>
          <xdr:spPr>
            <a:xfrm flipH="1">
              <a:off x="7545265" y="17907000"/>
              <a:ext cx="135157" cy="478234"/>
            </a:xfrm>
            <a:prstGeom prst="arc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909" name="Straight Connector 908">
              <a:extLst>
                <a:ext uri="{FF2B5EF4-FFF2-40B4-BE49-F238E27FC236}">
                  <a16:creationId xmlns:a16="http://schemas.microsoft.com/office/drawing/2014/main" id="{00000000-0008-0000-0300-00008D030000}"/>
                </a:ext>
              </a:extLst>
            </xdr:cNvPr>
            <xdr:cNvCxnSpPr/>
          </xdr:nvCxnSpPr>
          <xdr:spPr>
            <a:xfrm>
              <a:off x="7146706" y="17907000"/>
              <a:ext cx="472035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10" name="Freeform 909">
              <a:extLst>
                <a:ext uri="{FF2B5EF4-FFF2-40B4-BE49-F238E27FC236}">
                  <a16:creationId xmlns:a16="http://schemas.microsoft.com/office/drawing/2014/main" id="{00000000-0008-0000-0300-00008E030000}"/>
                </a:ext>
              </a:extLst>
            </xdr:cNvPr>
            <xdr:cNvSpPr/>
          </xdr:nvSpPr>
          <xdr:spPr>
            <a:xfrm>
              <a:off x="7239504" y="18037092"/>
              <a:ext cx="291940" cy="29748"/>
            </a:xfrm>
            <a:custGeom>
              <a:avLst/>
              <a:gdLst>
                <a:gd name="connsiteX0" fmla="*/ 902994 w 1215516"/>
                <a:gd name="connsiteY0" fmla="*/ 3705 h 389315"/>
                <a:gd name="connsiteX1" fmla="*/ 259104 w 1215516"/>
                <a:gd name="connsiteY1" fmla="*/ 384705 h 389315"/>
                <a:gd name="connsiteX2" fmla="*/ 24 w 1215516"/>
                <a:gd name="connsiteY2" fmla="*/ 201825 h 389315"/>
                <a:gd name="connsiteX3" fmla="*/ 270534 w 1215516"/>
                <a:gd name="connsiteY3" fmla="*/ 7515 h 389315"/>
                <a:gd name="connsiteX4" fmla="*/ 922044 w 1215516"/>
                <a:gd name="connsiteY4" fmla="*/ 380895 h 389315"/>
                <a:gd name="connsiteX5" fmla="*/ 1215414 w 1215516"/>
                <a:gd name="connsiteY5" fmla="*/ 201825 h 389315"/>
                <a:gd name="connsiteX6" fmla="*/ 902994 w 1215516"/>
                <a:gd name="connsiteY6" fmla="*/ 3705 h 38931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215516" h="389315">
                  <a:moveTo>
                    <a:pt x="902994" y="3705"/>
                  </a:moveTo>
                  <a:cubicBezTo>
                    <a:pt x="743609" y="34185"/>
                    <a:pt x="409599" y="351685"/>
                    <a:pt x="259104" y="384705"/>
                  </a:cubicBezTo>
                  <a:cubicBezTo>
                    <a:pt x="108609" y="417725"/>
                    <a:pt x="-1881" y="264690"/>
                    <a:pt x="24" y="201825"/>
                  </a:cubicBezTo>
                  <a:cubicBezTo>
                    <a:pt x="1929" y="138960"/>
                    <a:pt x="116864" y="-22330"/>
                    <a:pt x="270534" y="7515"/>
                  </a:cubicBezTo>
                  <a:cubicBezTo>
                    <a:pt x="424204" y="37360"/>
                    <a:pt x="764564" y="348510"/>
                    <a:pt x="922044" y="380895"/>
                  </a:cubicBezTo>
                  <a:cubicBezTo>
                    <a:pt x="1079524" y="413280"/>
                    <a:pt x="1219859" y="264690"/>
                    <a:pt x="1215414" y="201825"/>
                  </a:cubicBezTo>
                  <a:cubicBezTo>
                    <a:pt x="1210969" y="138960"/>
                    <a:pt x="1062379" y="-26775"/>
                    <a:pt x="902994" y="3705"/>
                  </a:cubicBezTo>
                  <a:close/>
                </a:path>
              </a:pathLst>
            </a:cu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grpSp>
        <xdr:nvGrpSpPr>
          <xdr:cNvPr id="884" name="Group 883">
            <a:extLst>
              <a:ext uri="{FF2B5EF4-FFF2-40B4-BE49-F238E27FC236}">
                <a16:creationId xmlns:a16="http://schemas.microsoft.com/office/drawing/2014/main" id="{00000000-0008-0000-0300-000074030000}"/>
              </a:ext>
            </a:extLst>
          </xdr:cNvPr>
          <xdr:cNvGrpSpPr/>
        </xdr:nvGrpSpPr>
        <xdr:grpSpPr>
          <a:xfrm rot="19786623" flipH="1">
            <a:off x="7556091" y="19281446"/>
            <a:ext cx="758687" cy="169379"/>
            <a:chOff x="8177094" y="17979452"/>
            <a:chExt cx="684000" cy="242928"/>
          </a:xfrm>
        </xdr:grpSpPr>
        <xdr:grpSp>
          <xdr:nvGrpSpPr>
            <xdr:cNvPr id="888" name="Group 887">
              <a:extLst>
                <a:ext uri="{FF2B5EF4-FFF2-40B4-BE49-F238E27FC236}">
                  <a16:creationId xmlns:a16="http://schemas.microsoft.com/office/drawing/2014/main" id="{00000000-0008-0000-0300-000078030000}"/>
                </a:ext>
              </a:extLst>
            </xdr:cNvPr>
            <xdr:cNvGrpSpPr/>
          </xdr:nvGrpSpPr>
          <xdr:grpSpPr>
            <a:xfrm rot="19140000" flipH="1">
              <a:off x="8239385" y="17979452"/>
              <a:ext cx="558989" cy="242928"/>
              <a:chOff x="8016586" y="190500"/>
              <a:chExt cx="783768" cy="198118"/>
            </a:xfrm>
          </xdr:grpSpPr>
          <xdr:cxnSp macro="">
            <xdr:nvCxnSpPr>
              <xdr:cNvPr id="892" name="Straight Connector 891">
                <a:extLst>
                  <a:ext uri="{FF2B5EF4-FFF2-40B4-BE49-F238E27FC236}">
                    <a16:creationId xmlns:a16="http://schemas.microsoft.com/office/drawing/2014/main" id="{00000000-0008-0000-0300-00007C030000}"/>
                  </a:ext>
                </a:extLst>
              </xdr:cNvPr>
              <xdr:cNvCxnSpPr/>
            </xdr:nvCxnSpPr>
            <xdr:spPr>
              <a:xfrm>
                <a:off x="8240518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3" name="Straight Connector 892">
                <a:extLst>
                  <a:ext uri="{FF2B5EF4-FFF2-40B4-BE49-F238E27FC236}">
                    <a16:creationId xmlns:a16="http://schemas.microsoft.com/office/drawing/2014/main" id="{00000000-0008-0000-0300-00007D030000}"/>
                  </a:ext>
                </a:extLst>
              </xdr:cNvPr>
              <xdr:cNvCxnSpPr/>
            </xdr:nvCxnSpPr>
            <xdr:spPr>
              <a:xfrm>
                <a:off x="8352484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4" name="Straight Connector 893">
                <a:extLst>
                  <a:ext uri="{FF2B5EF4-FFF2-40B4-BE49-F238E27FC236}">
                    <a16:creationId xmlns:a16="http://schemas.microsoft.com/office/drawing/2014/main" id="{00000000-0008-0000-0300-00007E030000}"/>
                  </a:ext>
                </a:extLst>
              </xdr:cNvPr>
              <xdr:cNvCxnSpPr/>
            </xdr:nvCxnSpPr>
            <xdr:spPr>
              <a:xfrm>
                <a:off x="8016586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5" name="Straight Connector 894">
                <a:extLst>
                  <a:ext uri="{FF2B5EF4-FFF2-40B4-BE49-F238E27FC236}">
                    <a16:creationId xmlns:a16="http://schemas.microsoft.com/office/drawing/2014/main" id="{00000000-0008-0000-0300-00007F030000}"/>
                  </a:ext>
                </a:extLst>
              </xdr:cNvPr>
              <xdr:cNvCxnSpPr/>
            </xdr:nvCxnSpPr>
            <xdr:spPr>
              <a:xfrm>
                <a:off x="8128552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6" name="Straight Connector 895">
                <a:extLst>
                  <a:ext uri="{FF2B5EF4-FFF2-40B4-BE49-F238E27FC236}">
                    <a16:creationId xmlns:a16="http://schemas.microsoft.com/office/drawing/2014/main" id="{00000000-0008-0000-0300-000080030000}"/>
                  </a:ext>
                </a:extLst>
              </xdr:cNvPr>
              <xdr:cNvCxnSpPr/>
            </xdr:nvCxnSpPr>
            <xdr:spPr>
              <a:xfrm>
                <a:off x="8296501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7" name="Straight Connector 896">
                <a:extLst>
                  <a:ext uri="{FF2B5EF4-FFF2-40B4-BE49-F238E27FC236}">
                    <a16:creationId xmlns:a16="http://schemas.microsoft.com/office/drawing/2014/main" id="{00000000-0008-0000-0300-000081030000}"/>
                  </a:ext>
                </a:extLst>
              </xdr:cNvPr>
              <xdr:cNvCxnSpPr/>
            </xdr:nvCxnSpPr>
            <xdr:spPr>
              <a:xfrm>
                <a:off x="8520433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8" name="Straight Connector 897">
                <a:extLst>
                  <a:ext uri="{FF2B5EF4-FFF2-40B4-BE49-F238E27FC236}">
                    <a16:creationId xmlns:a16="http://schemas.microsoft.com/office/drawing/2014/main" id="{00000000-0008-0000-0300-000082030000}"/>
                  </a:ext>
                </a:extLst>
              </xdr:cNvPr>
              <xdr:cNvCxnSpPr/>
            </xdr:nvCxnSpPr>
            <xdr:spPr>
              <a:xfrm>
                <a:off x="8800354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9" name="Straight Connector 898">
                <a:extLst>
                  <a:ext uri="{FF2B5EF4-FFF2-40B4-BE49-F238E27FC236}">
                    <a16:creationId xmlns:a16="http://schemas.microsoft.com/office/drawing/2014/main" id="{00000000-0008-0000-0300-000083030000}"/>
                  </a:ext>
                </a:extLst>
              </xdr:cNvPr>
              <xdr:cNvCxnSpPr/>
            </xdr:nvCxnSpPr>
            <xdr:spPr>
              <a:xfrm>
                <a:off x="8632399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0" name="Straight Connector 899">
                <a:extLst>
                  <a:ext uri="{FF2B5EF4-FFF2-40B4-BE49-F238E27FC236}">
                    <a16:creationId xmlns:a16="http://schemas.microsoft.com/office/drawing/2014/main" id="{00000000-0008-0000-0300-000084030000}"/>
                  </a:ext>
                </a:extLst>
              </xdr:cNvPr>
              <xdr:cNvCxnSpPr/>
            </xdr:nvCxnSpPr>
            <xdr:spPr>
              <a:xfrm>
                <a:off x="8576416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1" name="Straight Connector 900">
                <a:extLst>
                  <a:ext uri="{FF2B5EF4-FFF2-40B4-BE49-F238E27FC236}">
                    <a16:creationId xmlns:a16="http://schemas.microsoft.com/office/drawing/2014/main" id="{00000000-0008-0000-0300-000085030000}"/>
                  </a:ext>
                </a:extLst>
              </xdr:cNvPr>
              <xdr:cNvCxnSpPr/>
            </xdr:nvCxnSpPr>
            <xdr:spPr>
              <a:xfrm>
                <a:off x="8744365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2" name="Straight Connector 901">
                <a:extLst>
                  <a:ext uri="{FF2B5EF4-FFF2-40B4-BE49-F238E27FC236}">
                    <a16:creationId xmlns:a16="http://schemas.microsoft.com/office/drawing/2014/main" id="{00000000-0008-0000-0300-000086030000}"/>
                  </a:ext>
                </a:extLst>
              </xdr:cNvPr>
              <xdr:cNvCxnSpPr/>
            </xdr:nvCxnSpPr>
            <xdr:spPr>
              <a:xfrm>
                <a:off x="8464450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3" name="Straight Connector 902">
                <a:extLst>
                  <a:ext uri="{FF2B5EF4-FFF2-40B4-BE49-F238E27FC236}">
                    <a16:creationId xmlns:a16="http://schemas.microsoft.com/office/drawing/2014/main" id="{00000000-0008-0000-0300-000087030000}"/>
                  </a:ext>
                </a:extLst>
              </xdr:cNvPr>
              <xdr:cNvCxnSpPr/>
            </xdr:nvCxnSpPr>
            <xdr:spPr>
              <a:xfrm>
                <a:off x="8072569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4" name="Straight Connector 903">
                <a:extLst>
                  <a:ext uri="{FF2B5EF4-FFF2-40B4-BE49-F238E27FC236}">
                    <a16:creationId xmlns:a16="http://schemas.microsoft.com/office/drawing/2014/main" id="{00000000-0008-0000-0300-000088030000}"/>
                  </a:ext>
                </a:extLst>
              </xdr:cNvPr>
              <xdr:cNvCxnSpPr/>
            </xdr:nvCxnSpPr>
            <xdr:spPr>
              <a:xfrm>
                <a:off x="8184535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5" name="Straight Connector 904">
                <a:extLst>
                  <a:ext uri="{FF2B5EF4-FFF2-40B4-BE49-F238E27FC236}">
                    <a16:creationId xmlns:a16="http://schemas.microsoft.com/office/drawing/2014/main" id="{00000000-0008-0000-0300-000089030000}"/>
                  </a:ext>
                </a:extLst>
              </xdr:cNvPr>
              <xdr:cNvCxnSpPr/>
            </xdr:nvCxnSpPr>
            <xdr:spPr>
              <a:xfrm>
                <a:off x="8408467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06" name="Straight Connector 905">
                <a:extLst>
                  <a:ext uri="{FF2B5EF4-FFF2-40B4-BE49-F238E27FC236}">
                    <a16:creationId xmlns:a16="http://schemas.microsoft.com/office/drawing/2014/main" id="{00000000-0008-0000-0300-00008A030000}"/>
                  </a:ext>
                </a:extLst>
              </xdr:cNvPr>
              <xdr:cNvCxnSpPr/>
            </xdr:nvCxnSpPr>
            <xdr:spPr>
              <a:xfrm>
                <a:off x="8688382" y="190500"/>
                <a:ext cx="0" cy="198118"/>
              </a:xfrm>
              <a:prstGeom prst="line">
                <a:avLst/>
              </a:prstGeom>
              <a:ln w="3175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889" name="Group 888">
              <a:extLst>
                <a:ext uri="{FF2B5EF4-FFF2-40B4-BE49-F238E27FC236}">
                  <a16:creationId xmlns:a16="http://schemas.microsoft.com/office/drawing/2014/main" id="{00000000-0008-0000-0300-000079030000}"/>
                </a:ext>
              </a:extLst>
            </xdr:cNvPr>
            <xdr:cNvGrpSpPr/>
          </xdr:nvGrpSpPr>
          <xdr:grpSpPr>
            <a:xfrm>
              <a:off x="8177094" y="18046765"/>
              <a:ext cx="684000" cy="108000"/>
              <a:chOff x="8177094" y="18046765"/>
              <a:chExt cx="737838" cy="133800"/>
            </a:xfrm>
          </xdr:grpSpPr>
          <xdr:sp macro="" textlink="">
            <xdr:nvSpPr>
              <xdr:cNvPr id="890" name="Rectangle 889">
                <a:extLst>
                  <a:ext uri="{FF2B5EF4-FFF2-40B4-BE49-F238E27FC236}">
                    <a16:creationId xmlns:a16="http://schemas.microsoft.com/office/drawing/2014/main" id="{00000000-0008-0000-0300-00007A030000}"/>
                  </a:ext>
                </a:extLst>
              </xdr:cNvPr>
              <xdr:cNvSpPr/>
            </xdr:nvSpPr>
            <xdr:spPr>
              <a:xfrm rot="19108541">
                <a:off x="8177094" y="18046765"/>
                <a:ext cx="737838" cy="13380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891" name="Rectangle 890">
                <a:extLst>
                  <a:ext uri="{FF2B5EF4-FFF2-40B4-BE49-F238E27FC236}">
                    <a16:creationId xmlns:a16="http://schemas.microsoft.com/office/drawing/2014/main" id="{00000000-0008-0000-0300-00007B030000}"/>
                  </a:ext>
                </a:extLst>
              </xdr:cNvPr>
              <xdr:cNvSpPr/>
            </xdr:nvSpPr>
            <xdr:spPr>
              <a:xfrm rot="19108541">
                <a:off x="8247458" y="18093961"/>
                <a:ext cx="603103" cy="3900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</xdr:grpSp>
      <xdr:sp macro="" textlink="">
        <xdr:nvSpPr>
          <xdr:cNvPr id="885" name="TextBox 884">
            <a:extLst>
              <a:ext uri="{FF2B5EF4-FFF2-40B4-BE49-F238E27FC236}">
                <a16:creationId xmlns:a16="http://schemas.microsoft.com/office/drawing/2014/main" id="{00000000-0008-0000-0300-000075030000}"/>
              </a:ext>
            </a:extLst>
          </xdr:cNvPr>
          <xdr:cNvSpPr txBox="1"/>
        </xdr:nvSpPr>
        <xdr:spPr>
          <a:xfrm flipH="1">
            <a:off x="8347725" y="18506851"/>
            <a:ext cx="456688" cy="2086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800"/>
              <a:t>Air</a:t>
            </a:r>
          </a:p>
        </xdr:txBody>
      </xdr:sp>
      <xdr:sp macro="" textlink="">
        <xdr:nvSpPr>
          <xdr:cNvPr id="886" name="Circular Arrow 885">
            <a:extLst>
              <a:ext uri="{FF2B5EF4-FFF2-40B4-BE49-F238E27FC236}">
                <a16:creationId xmlns:a16="http://schemas.microsoft.com/office/drawing/2014/main" id="{00000000-0008-0000-0300-000076030000}"/>
              </a:ext>
            </a:extLst>
          </xdr:cNvPr>
          <xdr:cNvSpPr/>
        </xdr:nvSpPr>
        <xdr:spPr>
          <a:xfrm rot="17684328">
            <a:off x="8589073" y="18395677"/>
            <a:ext cx="720459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87" name="Circular Arrow 886">
            <a:extLst>
              <a:ext uri="{FF2B5EF4-FFF2-40B4-BE49-F238E27FC236}">
                <a16:creationId xmlns:a16="http://schemas.microsoft.com/office/drawing/2014/main" id="{00000000-0008-0000-0300-000077030000}"/>
              </a:ext>
            </a:extLst>
          </xdr:cNvPr>
          <xdr:cNvSpPr/>
        </xdr:nvSpPr>
        <xdr:spPr>
          <a:xfrm rot="3915672" flipH="1">
            <a:off x="7341712" y="18395677"/>
            <a:ext cx="720459" cy="317893"/>
          </a:xfrm>
          <a:prstGeom prst="circularArrow">
            <a:avLst>
              <a:gd name="adj1" fmla="val 8978"/>
              <a:gd name="adj2" fmla="val 2962135"/>
              <a:gd name="adj3" fmla="val 15770086"/>
              <a:gd name="adj4" fmla="val 11823414"/>
              <a:gd name="adj5" fmla="val 25000"/>
            </a:avLst>
          </a:prstGeom>
          <a:noFill/>
          <a:ln w="952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en-GB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17</xdr:col>
      <xdr:colOff>8811</xdr:colOff>
      <xdr:row>143</xdr:row>
      <xdr:rowOff>121527</xdr:rowOff>
    </xdr:from>
    <xdr:to>
      <xdr:col>19</xdr:col>
      <xdr:colOff>190374</xdr:colOff>
      <xdr:row>148</xdr:row>
      <xdr:rowOff>72131</xdr:rowOff>
    </xdr:to>
    <xdr:cxnSp macro="">
      <xdr:nvCxnSpPr>
        <xdr:cNvPr id="852" name="Elbow Connector 851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CxnSpPr>
          <a:endCxn id="934" idx="2"/>
        </xdr:cNvCxnSpPr>
      </xdr:nvCxnSpPr>
      <xdr:spPr>
        <a:xfrm rot="10800000" flipV="1">
          <a:off x="5447586" y="23333952"/>
          <a:ext cx="724488" cy="760229"/>
        </a:xfrm>
        <a:prstGeom prst="bentConnector3">
          <a:avLst>
            <a:gd name="adj1" fmla="val -277"/>
          </a:avLst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19015</xdr:colOff>
      <xdr:row>143</xdr:row>
      <xdr:rowOff>137895</xdr:rowOff>
    </xdr:from>
    <xdr:to>
      <xdr:col>19</xdr:col>
      <xdr:colOff>142109</xdr:colOff>
      <xdr:row>146</xdr:row>
      <xdr:rowOff>114868</xdr:rowOff>
    </xdr:to>
    <xdr:cxnSp macro="">
      <xdr:nvCxnSpPr>
        <xdr:cNvPr id="853" name="Elbow Connector 852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CxnSpPr/>
      </xdr:nvCxnSpPr>
      <xdr:spPr>
        <a:xfrm flipV="1">
          <a:off x="4314790" y="23350320"/>
          <a:ext cx="1809019" cy="462748"/>
        </a:xfrm>
        <a:prstGeom prst="bentConnector2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84234</xdr:colOff>
      <xdr:row>139</xdr:row>
      <xdr:rowOff>76459</xdr:rowOff>
    </xdr:from>
    <xdr:to>
      <xdr:col>17</xdr:col>
      <xdr:colOff>199092</xdr:colOff>
      <xdr:row>143</xdr:row>
      <xdr:rowOff>42126</xdr:rowOff>
    </xdr:to>
    <xdr:sp macro="" textlink="">
      <xdr:nvSpPr>
        <xdr:cNvPr id="854" name="TextBox 853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SpPr txBox="1"/>
      </xdr:nvSpPr>
      <xdr:spPr>
        <a:xfrm flipH="1">
          <a:off x="5065809" y="22641184"/>
          <a:ext cx="572058" cy="613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GB" sz="800"/>
            <a:t>Dry cooling</a:t>
          </a:r>
          <a:r>
            <a:rPr lang="en-GB" sz="800" baseline="0"/>
            <a:t> T</a:t>
          </a:r>
          <a:r>
            <a:rPr lang="en-GB" sz="800"/>
            <a:t>ower</a:t>
          </a:r>
        </a:p>
      </xdr:txBody>
    </xdr:sp>
    <xdr:clientData/>
  </xdr:twoCellAnchor>
  <xdr:twoCellAnchor>
    <xdr:from>
      <xdr:col>6</xdr:col>
      <xdr:colOff>12414</xdr:colOff>
      <xdr:row>140</xdr:row>
      <xdr:rowOff>19050</xdr:rowOff>
    </xdr:from>
    <xdr:to>
      <xdr:col>12</xdr:col>
      <xdr:colOff>53139</xdr:colOff>
      <xdr:row>152</xdr:row>
      <xdr:rowOff>56128</xdr:rowOff>
    </xdr:to>
    <xdr:grpSp>
      <xdr:nvGrpSpPr>
        <xdr:cNvPr id="944" name="Group 943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GrpSpPr/>
      </xdr:nvGrpSpPr>
      <xdr:grpSpPr>
        <a:xfrm>
          <a:off x="2374614" y="23145750"/>
          <a:ext cx="1974300" cy="2018278"/>
          <a:chOff x="2956909" y="10252792"/>
          <a:chExt cx="3320555" cy="3411662"/>
        </a:xfrm>
      </xdr:grpSpPr>
      <xdr:grpSp>
        <xdr:nvGrpSpPr>
          <xdr:cNvPr id="945" name="Turbine">
            <a:extLst>
              <a:ext uri="{FF2B5EF4-FFF2-40B4-BE49-F238E27FC236}">
                <a16:creationId xmlns:a16="http://schemas.microsoft.com/office/drawing/2014/main" id="{00000000-0008-0000-0300-0000B1030000}"/>
              </a:ext>
            </a:extLst>
          </xdr:cNvPr>
          <xdr:cNvGrpSpPr/>
        </xdr:nvGrpSpPr>
        <xdr:grpSpPr>
          <a:xfrm flipH="1">
            <a:off x="3840918" y="10384911"/>
            <a:ext cx="1856712" cy="1243500"/>
            <a:chOff x="9572125" y="4713379"/>
            <a:chExt cx="1018486" cy="1197133"/>
          </a:xfrm>
        </xdr:grpSpPr>
        <xdr:sp macro="" textlink="">
          <xdr:nvSpPr>
            <xdr:cNvPr id="972" name="Rectangle 971">
              <a:extLst>
                <a:ext uri="{FF2B5EF4-FFF2-40B4-BE49-F238E27FC236}">
                  <a16:creationId xmlns:a16="http://schemas.microsoft.com/office/drawing/2014/main" id="{00000000-0008-0000-0300-0000CC030000}"/>
                </a:ext>
              </a:extLst>
            </xdr:cNvPr>
            <xdr:cNvSpPr/>
          </xdr:nvSpPr>
          <xdr:spPr>
            <a:xfrm>
              <a:off x="10341143" y="4831682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3" name="Rectangle 972">
              <a:extLst>
                <a:ext uri="{FF2B5EF4-FFF2-40B4-BE49-F238E27FC236}">
                  <a16:creationId xmlns:a16="http://schemas.microsoft.com/office/drawing/2014/main" id="{00000000-0008-0000-0300-0000CD030000}"/>
                </a:ext>
              </a:extLst>
            </xdr:cNvPr>
            <xdr:cNvSpPr/>
          </xdr:nvSpPr>
          <xdr:spPr>
            <a:xfrm>
              <a:off x="9637295" y="5586664"/>
              <a:ext cx="183600" cy="278732"/>
            </a:xfrm>
            <a:prstGeom prst="rect">
              <a:avLst/>
            </a:prstGeom>
            <a:noFill/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4" name="Trapezoid 973">
              <a:extLst>
                <a:ext uri="{FF2B5EF4-FFF2-40B4-BE49-F238E27FC236}">
                  <a16:creationId xmlns:a16="http://schemas.microsoft.com/office/drawing/2014/main" id="{00000000-0008-0000-0300-0000CE030000}"/>
                </a:ext>
              </a:extLst>
            </xdr:cNvPr>
            <xdr:cNvSpPr/>
          </xdr:nvSpPr>
          <xdr:spPr>
            <a:xfrm rot="5400000" flipH="1">
              <a:off x="9577642" y="4713870"/>
              <a:ext cx="1007451" cy="1018486"/>
            </a:xfrm>
            <a:prstGeom prst="trapezoid">
              <a:avLst>
                <a:gd name="adj" fmla="val 32812"/>
              </a:avLst>
            </a:prstGeom>
            <a:solidFill>
              <a:schemeClr val="bg1"/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5" name="Rectangle 974">
              <a:extLst>
                <a:ext uri="{FF2B5EF4-FFF2-40B4-BE49-F238E27FC236}">
                  <a16:creationId xmlns:a16="http://schemas.microsoft.com/office/drawing/2014/main" id="{00000000-0008-0000-0300-0000CF030000}"/>
                </a:ext>
              </a:extLst>
            </xdr:cNvPr>
            <xdr:cNvSpPr/>
          </xdr:nvSpPr>
          <xdr:spPr>
            <a:xfrm>
              <a:off x="9663479" y="5468361"/>
              <a:ext cx="141675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6" name="Rectangle 975">
              <a:extLst>
                <a:ext uri="{FF2B5EF4-FFF2-40B4-BE49-F238E27FC236}">
                  <a16:creationId xmlns:a16="http://schemas.microsoft.com/office/drawing/2014/main" id="{00000000-0008-0000-0300-0000D0030000}"/>
                </a:ext>
              </a:extLst>
            </xdr:cNvPr>
            <xdr:cNvSpPr/>
          </xdr:nvSpPr>
          <xdr:spPr>
            <a:xfrm>
              <a:off x="10352171" y="4713379"/>
              <a:ext cx="165433" cy="442151"/>
            </a:xfrm>
            <a:prstGeom prst="rect">
              <a:avLst/>
            </a:prstGeom>
            <a:solidFill>
              <a:schemeClr val="bg1"/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1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977" name="TextBox 976">
              <a:extLst>
                <a:ext uri="{FF2B5EF4-FFF2-40B4-BE49-F238E27FC236}">
                  <a16:creationId xmlns:a16="http://schemas.microsoft.com/office/drawing/2014/main" id="{00000000-0008-0000-0300-0000D1030000}"/>
                </a:ext>
              </a:extLst>
            </xdr:cNvPr>
            <xdr:cNvSpPr txBox="1"/>
          </xdr:nvSpPr>
          <xdr:spPr>
            <a:xfrm>
              <a:off x="9639489" y="5058815"/>
              <a:ext cx="823316" cy="28441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pPr algn="ctr"/>
              <a:r>
                <a:rPr lang="en-GB" sz="900"/>
                <a:t>Steam turbine</a:t>
              </a:r>
            </a:p>
          </xdr:txBody>
        </xdr:sp>
      </xdr:grpSp>
      <xdr:cxnSp macro="">
        <xdr:nvCxnSpPr>
          <xdr:cNvPr id="946" name="Elbow Connector 945">
            <a:extLst>
              <a:ext uri="{FF2B5EF4-FFF2-40B4-BE49-F238E27FC236}">
                <a16:creationId xmlns:a16="http://schemas.microsoft.com/office/drawing/2014/main" id="{00000000-0008-0000-0300-0000B2030000}"/>
              </a:ext>
            </a:extLst>
          </xdr:cNvPr>
          <xdr:cNvCxnSpPr/>
        </xdr:nvCxnSpPr>
        <xdr:spPr>
          <a:xfrm rot="10800000" flipV="1">
            <a:off x="3335432" y="12832056"/>
            <a:ext cx="2054699" cy="554491"/>
          </a:xfrm>
          <a:prstGeom prst="bentConnector3">
            <a:avLst>
              <a:gd name="adj1" fmla="val -110"/>
            </a:avLst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7" name="Elbow Connector 946">
            <a:extLst>
              <a:ext uri="{FF2B5EF4-FFF2-40B4-BE49-F238E27FC236}">
                <a16:creationId xmlns:a16="http://schemas.microsoft.com/office/drawing/2014/main" id="{00000000-0008-0000-0300-0000B3030000}"/>
              </a:ext>
            </a:extLst>
          </xdr:cNvPr>
          <xdr:cNvCxnSpPr/>
        </xdr:nvCxnSpPr>
        <xdr:spPr>
          <a:xfrm>
            <a:off x="3182271" y="10268926"/>
            <a:ext cx="922518" cy="337038"/>
          </a:xfrm>
          <a:prstGeom prst="bentConnector2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48" name="TextBox 947">
            <a:extLst>
              <a:ext uri="{FF2B5EF4-FFF2-40B4-BE49-F238E27FC236}">
                <a16:creationId xmlns:a16="http://schemas.microsoft.com/office/drawing/2014/main" id="{00000000-0008-0000-0300-0000B4030000}"/>
              </a:ext>
            </a:extLst>
          </xdr:cNvPr>
          <xdr:cNvSpPr txBox="1"/>
        </xdr:nvSpPr>
        <xdr:spPr>
          <a:xfrm>
            <a:off x="3746477" y="13430250"/>
            <a:ext cx="1185776" cy="2342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Condensate</a:t>
            </a:r>
          </a:p>
        </xdr:txBody>
      </xdr:sp>
      <xdr:sp macro="" textlink="">
        <xdr:nvSpPr>
          <xdr:cNvPr id="949" name="TextBox 948">
            <a:extLst>
              <a:ext uri="{FF2B5EF4-FFF2-40B4-BE49-F238E27FC236}">
                <a16:creationId xmlns:a16="http://schemas.microsoft.com/office/drawing/2014/main" id="{00000000-0008-0000-0300-0000B5030000}"/>
              </a:ext>
            </a:extLst>
          </xdr:cNvPr>
          <xdr:cNvSpPr txBox="1"/>
        </xdr:nvSpPr>
        <xdr:spPr>
          <a:xfrm>
            <a:off x="2956909" y="10252792"/>
            <a:ext cx="1174577" cy="3247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GB" sz="900"/>
              <a:t>Steam</a:t>
            </a:r>
          </a:p>
        </xdr:txBody>
      </xdr:sp>
      <xdr:grpSp>
        <xdr:nvGrpSpPr>
          <xdr:cNvPr id="950" name="Condenser Surface">
            <a:extLst>
              <a:ext uri="{FF2B5EF4-FFF2-40B4-BE49-F238E27FC236}">
                <a16:creationId xmlns:a16="http://schemas.microsoft.com/office/drawing/2014/main" id="{00000000-0008-0000-0300-0000B6030000}"/>
              </a:ext>
            </a:extLst>
          </xdr:cNvPr>
          <xdr:cNvGrpSpPr/>
        </xdr:nvGrpSpPr>
        <xdr:grpSpPr>
          <a:xfrm>
            <a:off x="4602517" y="11628924"/>
            <a:ext cx="1674947" cy="1201752"/>
            <a:chOff x="446484" y="32599312"/>
            <a:chExt cx="1308281" cy="946442"/>
          </a:xfrm>
        </xdr:grpSpPr>
        <xdr:grpSp>
          <xdr:nvGrpSpPr>
            <xdr:cNvPr id="951" name="Group 950">
              <a:extLst>
                <a:ext uri="{FF2B5EF4-FFF2-40B4-BE49-F238E27FC236}">
                  <a16:creationId xmlns:a16="http://schemas.microsoft.com/office/drawing/2014/main" id="{00000000-0008-0000-0300-0000B7030000}"/>
                </a:ext>
              </a:extLst>
            </xdr:cNvPr>
            <xdr:cNvGrpSpPr/>
          </xdr:nvGrpSpPr>
          <xdr:grpSpPr>
            <a:xfrm>
              <a:off x="446484" y="32599312"/>
              <a:ext cx="1308281" cy="946442"/>
              <a:chOff x="470858" y="35630288"/>
              <a:chExt cx="1308281" cy="946442"/>
            </a:xfrm>
          </xdr:grpSpPr>
          <xdr:sp macro="" textlink="">
            <xdr:nvSpPr>
              <xdr:cNvPr id="963" name="Freeform 962">
                <a:extLst>
                  <a:ext uri="{FF2B5EF4-FFF2-40B4-BE49-F238E27FC236}">
                    <a16:creationId xmlns:a16="http://schemas.microsoft.com/office/drawing/2014/main" id="{00000000-0008-0000-0300-0000C3030000}"/>
                  </a:ext>
                </a:extLst>
              </xdr:cNvPr>
              <xdr:cNvSpPr/>
            </xdr:nvSpPr>
            <xdr:spPr>
              <a:xfrm>
                <a:off x="843606" y="36454605"/>
                <a:ext cx="562786" cy="119560"/>
              </a:xfrm>
              <a:custGeom>
                <a:avLst/>
                <a:gdLst>
                  <a:gd name="connsiteX0" fmla="*/ 0 w 1410510"/>
                  <a:gd name="connsiteY0" fmla="*/ 50247 h 111048"/>
                  <a:gd name="connsiteX1" fmla="*/ 52691 w 1410510"/>
                  <a:gd name="connsiteY1" fmla="*/ 1609 h 111048"/>
                  <a:gd name="connsiteX2" fmla="*/ 137808 w 1410510"/>
                  <a:gd name="connsiteY2" fmla="*/ 102939 h 111048"/>
                  <a:gd name="connsiteX3" fmla="*/ 243191 w 1410510"/>
                  <a:gd name="connsiteY3" fmla="*/ 13768 h 111048"/>
                  <a:gd name="connsiteX4" fmla="*/ 344521 w 1410510"/>
                  <a:gd name="connsiteY4" fmla="*/ 106992 h 111048"/>
                  <a:gd name="connsiteX5" fmla="*/ 433691 w 1410510"/>
                  <a:gd name="connsiteY5" fmla="*/ 17822 h 111048"/>
                  <a:gd name="connsiteX6" fmla="*/ 535021 w 1410510"/>
                  <a:gd name="connsiteY6" fmla="*/ 102939 h 111048"/>
                  <a:gd name="connsiteX7" fmla="*/ 636351 w 1410510"/>
                  <a:gd name="connsiteY7" fmla="*/ 13768 h 111048"/>
                  <a:gd name="connsiteX8" fmla="*/ 701202 w 1410510"/>
                  <a:gd name="connsiteY8" fmla="*/ 106992 h 111048"/>
                  <a:gd name="connsiteX9" fmla="*/ 794425 w 1410510"/>
                  <a:gd name="connsiteY9" fmla="*/ 17822 h 111048"/>
                  <a:gd name="connsiteX10" fmla="*/ 891702 w 1410510"/>
                  <a:gd name="connsiteY10" fmla="*/ 111045 h 111048"/>
                  <a:gd name="connsiteX11" fmla="*/ 956553 w 1410510"/>
                  <a:gd name="connsiteY11" fmla="*/ 21875 h 111048"/>
                  <a:gd name="connsiteX12" fmla="*/ 1070042 w 1410510"/>
                  <a:gd name="connsiteY12" fmla="*/ 102939 h 111048"/>
                  <a:gd name="connsiteX13" fmla="*/ 1155159 w 1410510"/>
                  <a:gd name="connsiteY13" fmla="*/ 21875 h 111048"/>
                  <a:gd name="connsiteX14" fmla="*/ 1232170 w 1410510"/>
                  <a:gd name="connsiteY14" fmla="*/ 111045 h 111048"/>
                  <a:gd name="connsiteX15" fmla="*/ 1317287 w 1410510"/>
                  <a:gd name="connsiteY15" fmla="*/ 17822 h 111048"/>
                  <a:gd name="connsiteX16" fmla="*/ 1410510 w 1410510"/>
                  <a:gd name="connsiteY16" fmla="*/ 70513 h 111048"/>
                  <a:gd name="connsiteX0" fmla="*/ 0 w 1418616"/>
                  <a:gd name="connsiteY0" fmla="*/ 50247 h 128541"/>
                  <a:gd name="connsiteX1" fmla="*/ 52691 w 1418616"/>
                  <a:gd name="connsiteY1" fmla="*/ 1609 h 128541"/>
                  <a:gd name="connsiteX2" fmla="*/ 137808 w 1418616"/>
                  <a:gd name="connsiteY2" fmla="*/ 102939 h 128541"/>
                  <a:gd name="connsiteX3" fmla="*/ 243191 w 1418616"/>
                  <a:gd name="connsiteY3" fmla="*/ 13768 h 128541"/>
                  <a:gd name="connsiteX4" fmla="*/ 344521 w 1418616"/>
                  <a:gd name="connsiteY4" fmla="*/ 106992 h 128541"/>
                  <a:gd name="connsiteX5" fmla="*/ 433691 w 1418616"/>
                  <a:gd name="connsiteY5" fmla="*/ 17822 h 128541"/>
                  <a:gd name="connsiteX6" fmla="*/ 535021 w 1418616"/>
                  <a:gd name="connsiteY6" fmla="*/ 102939 h 128541"/>
                  <a:gd name="connsiteX7" fmla="*/ 636351 w 1418616"/>
                  <a:gd name="connsiteY7" fmla="*/ 13768 h 128541"/>
                  <a:gd name="connsiteX8" fmla="*/ 701202 w 1418616"/>
                  <a:gd name="connsiteY8" fmla="*/ 106992 h 128541"/>
                  <a:gd name="connsiteX9" fmla="*/ 794425 w 1418616"/>
                  <a:gd name="connsiteY9" fmla="*/ 17822 h 128541"/>
                  <a:gd name="connsiteX10" fmla="*/ 891702 w 1418616"/>
                  <a:gd name="connsiteY10" fmla="*/ 111045 h 128541"/>
                  <a:gd name="connsiteX11" fmla="*/ 956553 w 1418616"/>
                  <a:gd name="connsiteY11" fmla="*/ 21875 h 128541"/>
                  <a:gd name="connsiteX12" fmla="*/ 1070042 w 1418616"/>
                  <a:gd name="connsiteY12" fmla="*/ 102939 h 128541"/>
                  <a:gd name="connsiteX13" fmla="*/ 1155159 w 1418616"/>
                  <a:gd name="connsiteY13" fmla="*/ 21875 h 128541"/>
                  <a:gd name="connsiteX14" fmla="*/ 1232170 w 1418616"/>
                  <a:gd name="connsiteY14" fmla="*/ 111045 h 128541"/>
                  <a:gd name="connsiteX15" fmla="*/ 1317287 w 1418616"/>
                  <a:gd name="connsiteY15" fmla="*/ 17822 h 128541"/>
                  <a:gd name="connsiteX16" fmla="*/ 1418616 w 1418616"/>
                  <a:gd name="connsiteY16" fmla="*/ 128541 h 128541"/>
                  <a:gd name="connsiteX0" fmla="*/ 0 w 1418616"/>
                  <a:gd name="connsiteY0" fmla="*/ 267983 h 267983"/>
                  <a:gd name="connsiteX1" fmla="*/ 52691 w 1418616"/>
                  <a:gd name="connsiteY1" fmla="*/ 3816 h 267983"/>
                  <a:gd name="connsiteX2" fmla="*/ 137808 w 1418616"/>
                  <a:gd name="connsiteY2" fmla="*/ 105146 h 267983"/>
                  <a:gd name="connsiteX3" fmla="*/ 243191 w 1418616"/>
                  <a:gd name="connsiteY3" fmla="*/ 15975 h 267983"/>
                  <a:gd name="connsiteX4" fmla="*/ 344521 w 1418616"/>
                  <a:gd name="connsiteY4" fmla="*/ 109199 h 267983"/>
                  <a:gd name="connsiteX5" fmla="*/ 433691 w 1418616"/>
                  <a:gd name="connsiteY5" fmla="*/ 20029 h 267983"/>
                  <a:gd name="connsiteX6" fmla="*/ 535021 w 1418616"/>
                  <a:gd name="connsiteY6" fmla="*/ 105146 h 267983"/>
                  <a:gd name="connsiteX7" fmla="*/ 636351 w 1418616"/>
                  <a:gd name="connsiteY7" fmla="*/ 15975 h 267983"/>
                  <a:gd name="connsiteX8" fmla="*/ 701202 w 1418616"/>
                  <a:gd name="connsiteY8" fmla="*/ 109199 h 267983"/>
                  <a:gd name="connsiteX9" fmla="*/ 794425 w 1418616"/>
                  <a:gd name="connsiteY9" fmla="*/ 20029 h 267983"/>
                  <a:gd name="connsiteX10" fmla="*/ 891702 w 1418616"/>
                  <a:gd name="connsiteY10" fmla="*/ 113252 h 267983"/>
                  <a:gd name="connsiteX11" fmla="*/ 956553 w 1418616"/>
                  <a:gd name="connsiteY11" fmla="*/ 24082 h 267983"/>
                  <a:gd name="connsiteX12" fmla="*/ 1070042 w 1418616"/>
                  <a:gd name="connsiteY12" fmla="*/ 105146 h 267983"/>
                  <a:gd name="connsiteX13" fmla="*/ 1155159 w 1418616"/>
                  <a:gd name="connsiteY13" fmla="*/ 24082 h 267983"/>
                  <a:gd name="connsiteX14" fmla="*/ 1232170 w 1418616"/>
                  <a:gd name="connsiteY14" fmla="*/ 113252 h 267983"/>
                  <a:gd name="connsiteX15" fmla="*/ 1317287 w 1418616"/>
                  <a:gd name="connsiteY15" fmla="*/ 20029 h 267983"/>
                  <a:gd name="connsiteX16" fmla="*/ 1418616 w 1418616"/>
                  <a:gd name="connsiteY16" fmla="*/ 130748 h 267983"/>
                  <a:gd name="connsiteX0" fmla="*/ 0 w 1418616"/>
                  <a:gd name="connsiteY0" fmla="*/ 264488 h 264488"/>
                  <a:gd name="connsiteX1" fmla="*/ 28372 w 1418616"/>
                  <a:gd name="connsiteY1" fmla="*/ 142917 h 264488"/>
                  <a:gd name="connsiteX2" fmla="*/ 52691 w 1418616"/>
                  <a:gd name="connsiteY2" fmla="*/ 321 h 264488"/>
                  <a:gd name="connsiteX3" fmla="*/ 137808 w 1418616"/>
                  <a:gd name="connsiteY3" fmla="*/ 101651 h 264488"/>
                  <a:gd name="connsiteX4" fmla="*/ 243191 w 1418616"/>
                  <a:gd name="connsiteY4" fmla="*/ 12480 h 264488"/>
                  <a:gd name="connsiteX5" fmla="*/ 344521 w 1418616"/>
                  <a:gd name="connsiteY5" fmla="*/ 105704 h 264488"/>
                  <a:gd name="connsiteX6" fmla="*/ 433691 w 1418616"/>
                  <a:gd name="connsiteY6" fmla="*/ 16534 h 264488"/>
                  <a:gd name="connsiteX7" fmla="*/ 535021 w 1418616"/>
                  <a:gd name="connsiteY7" fmla="*/ 101651 h 264488"/>
                  <a:gd name="connsiteX8" fmla="*/ 636351 w 1418616"/>
                  <a:gd name="connsiteY8" fmla="*/ 12480 h 264488"/>
                  <a:gd name="connsiteX9" fmla="*/ 701202 w 1418616"/>
                  <a:gd name="connsiteY9" fmla="*/ 105704 h 264488"/>
                  <a:gd name="connsiteX10" fmla="*/ 794425 w 1418616"/>
                  <a:gd name="connsiteY10" fmla="*/ 16534 h 264488"/>
                  <a:gd name="connsiteX11" fmla="*/ 891702 w 1418616"/>
                  <a:gd name="connsiteY11" fmla="*/ 109757 h 264488"/>
                  <a:gd name="connsiteX12" fmla="*/ 956553 w 1418616"/>
                  <a:gd name="connsiteY12" fmla="*/ 20587 h 264488"/>
                  <a:gd name="connsiteX13" fmla="*/ 1070042 w 1418616"/>
                  <a:gd name="connsiteY13" fmla="*/ 101651 h 264488"/>
                  <a:gd name="connsiteX14" fmla="*/ 1155159 w 1418616"/>
                  <a:gd name="connsiteY14" fmla="*/ 20587 h 264488"/>
                  <a:gd name="connsiteX15" fmla="*/ 1232170 w 1418616"/>
                  <a:gd name="connsiteY15" fmla="*/ 109757 h 264488"/>
                  <a:gd name="connsiteX16" fmla="*/ 1317287 w 1418616"/>
                  <a:gd name="connsiteY16" fmla="*/ 16534 h 264488"/>
                  <a:gd name="connsiteX17" fmla="*/ 1418616 w 1418616"/>
                  <a:gd name="connsiteY17" fmla="*/ 127253 h 264488"/>
                  <a:gd name="connsiteX0" fmla="*/ 6551 w 1425167"/>
                  <a:gd name="connsiteY0" fmla="*/ 264181 h 264181"/>
                  <a:gd name="connsiteX1" fmla="*/ 2498 w 1425167"/>
                  <a:gd name="connsiteY1" fmla="*/ 109451 h 264181"/>
                  <a:gd name="connsiteX2" fmla="*/ 59242 w 1425167"/>
                  <a:gd name="connsiteY2" fmla="*/ 14 h 264181"/>
                  <a:gd name="connsiteX3" fmla="*/ 144359 w 1425167"/>
                  <a:gd name="connsiteY3" fmla="*/ 101344 h 264181"/>
                  <a:gd name="connsiteX4" fmla="*/ 249742 w 1425167"/>
                  <a:gd name="connsiteY4" fmla="*/ 12173 h 264181"/>
                  <a:gd name="connsiteX5" fmla="*/ 351072 w 1425167"/>
                  <a:gd name="connsiteY5" fmla="*/ 105397 h 264181"/>
                  <a:gd name="connsiteX6" fmla="*/ 440242 w 1425167"/>
                  <a:gd name="connsiteY6" fmla="*/ 16227 h 264181"/>
                  <a:gd name="connsiteX7" fmla="*/ 541572 w 1425167"/>
                  <a:gd name="connsiteY7" fmla="*/ 101344 h 264181"/>
                  <a:gd name="connsiteX8" fmla="*/ 642902 w 1425167"/>
                  <a:gd name="connsiteY8" fmla="*/ 12173 h 264181"/>
                  <a:gd name="connsiteX9" fmla="*/ 707753 w 1425167"/>
                  <a:gd name="connsiteY9" fmla="*/ 105397 h 264181"/>
                  <a:gd name="connsiteX10" fmla="*/ 800976 w 1425167"/>
                  <a:gd name="connsiteY10" fmla="*/ 16227 h 264181"/>
                  <a:gd name="connsiteX11" fmla="*/ 898253 w 1425167"/>
                  <a:gd name="connsiteY11" fmla="*/ 109450 h 264181"/>
                  <a:gd name="connsiteX12" fmla="*/ 963104 w 1425167"/>
                  <a:gd name="connsiteY12" fmla="*/ 20280 h 264181"/>
                  <a:gd name="connsiteX13" fmla="*/ 1076593 w 1425167"/>
                  <a:gd name="connsiteY13" fmla="*/ 101344 h 264181"/>
                  <a:gd name="connsiteX14" fmla="*/ 1161710 w 1425167"/>
                  <a:gd name="connsiteY14" fmla="*/ 20280 h 264181"/>
                  <a:gd name="connsiteX15" fmla="*/ 1238721 w 1425167"/>
                  <a:gd name="connsiteY15" fmla="*/ 109450 h 264181"/>
                  <a:gd name="connsiteX16" fmla="*/ 1323838 w 1425167"/>
                  <a:gd name="connsiteY16" fmla="*/ 16227 h 264181"/>
                  <a:gd name="connsiteX17" fmla="*/ 1425167 w 1425167"/>
                  <a:gd name="connsiteY17" fmla="*/ 126946 h 264181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408954 w 1408954"/>
                  <a:gd name="connsiteY17" fmla="*/ 267869 h 267869"/>
                  <a:gd name="connsiteX0" fmla="*/ 6551 w 1408954"/>
                  <a:gd name="connsiteY0" fmla="*/ 264181 h 267869"/>
                  <a:gd name="connsiteX1" fmla="*/ 2498 w 1408954"/>
                  <a:gd name="connsiteY1" fmla="*/ 109451 h 267869"/>
                  <a:gd name="connsiteX2" fmla="*/ 59242 w 1408954"/>
                  <a:gd name="connsiteY2" fmla="*/ 14 h 267869"/>
                  <a:gd name="connsiteX3" fmla="*/ 144359 w 1408954"/>
                  <a:gd name="connsiteY3" fmla="*/ 101344 h 267869"/>
                  <a:gd name="connsiteX4" fmla="*/ 249742 w 1408954"/>
                  <a:gd name="connsiteY4" fmla="*/ 12173 h 267869"/>
                  <a:gd name="connsiteX5" fmla="*/ 351072 w 1408954"/>
                  <a:gd name="connsiteY5" fmla="*/ 105397 h 267869"/>
                  <a:gd name="connsiteX6" fmla="*/ 440242 w 1408954"/>
                  <a:gd name="connsiteY6" fmla="*/ 16227 h 267869"/>
                  <a:gd name="connsiteX7" fmla="*/ 541572 w 1408954"/>
                  <a:gd name="connsiteY7" fmla="*/ 101344 h 267869"/>
                  <a:gd name="connsiteX8" fmla="*/ 642902 w 1408954"/>
                  <a:gd name="connsiteY8" fmla="*/ 12173 h 267869"/>
                  <a:gd name="connsiteX9" fmla="*/ 707753 w 1408954"/>
                  <a:gd name="connsiteY9" fmla="*/ 105397 h 267869"/>
                  <a:gd name="connsiteX10" fmla="*/ 800976 w 1408954"/>
                  <a:gd name="connsiteY10" fmla="*/ 16227 h 267869"/>
                  <a:gd name="connsiteX11" fmla="*/ 898253 w 1408954"/>
                  <a:gd name="connsiteY11" fmla="*/ 109450 h 267869"/>
                  <a:gd name="connsiteX12" fmla="*/ 963104 w 1408954"/>
                  <a:gd name="connsiteY12" fmla="*/ 20280 h 267869"/>
                  <a:gd name="connsiteX13" fmla="*/ 1076593 w 1408954"/>
                  <a:gd name="connsiteY13" fmla="*/ 101344 h 267869"/>
                  <a:gd name="connsiteX14" fmla="*/ 1161710 w 1408954"/>
                  <a:gd name="connsiteY14" fmla="*/ 20280 h 267869"/>
                  <a:gd name="connsiteX15" fmla="*/ 1238721 w 1408954"/>
                  <a:gd name="connsiteY15" fmla="*/ 109450 h 267869"/>
                  <a:gd name="connsiteX16" fmla="*/ 1323838 w 1408954"/>
                  <a:gd name="connsiteY16" fmla="*/ 16227 h 267869"/>
                  <a:gd name="connsiteX17" fmla="*/ 1372477 w 1408954"/>
                  <a:gd name="connsiteY17" fmla="*/ 184056 h 267869"/>
                  <a:gd name="connsiteX18" fmla="*/ 1408954 w 1408954"/>
                  <a:gd name="connsiteY18" fmla="*/ 267869 h 267869"/>
                  <a:gd name="connsiteX0" fmla="*/ 6551 w 1424741"/>
                  <a:gd name="connsiteY0" fmla="*/ 264181 h 267869"/>
                  <a:gd name="connsiteX1" fmla="*/ 2498 w 1424741"/>
                  <a:gd name="connsiteY1" fmla="*/ 109451 h 267869"/>
                  <a:gd name="connsiteX2" fmla="*/ 59242 w 1424741"/>
                  <a:gd name="connsiteY2" fmla="*/ 14 h 267869"/>
                  <a:gd name="connsiteX3" fmla="*/ 144359 w 1424741"/>
                  <a:gd name="connsiteY3" fmla="*/ 101344 h 267869"/>
                  <a:gd name="connsiteX4" fmla="*/ 249742 w 1424741"/>
                  <a:gd name="connsiteY4" fmla="*/ 12173 h 267869"/>
                  <a:gd name="connsiteX5" fmla="*/ 351072 w 1424741"/>
                  <a:gd name="connsiteY5" fmla="*/ 105397 h 267869"/>
                  <a:gd name="connsiteX6" fmla="*/ 440242 w 1424741"/>
                  <a:gd name="connsiteY6" fmla="*/ 16227 h 267869"/>
                  <a:gd name="connsiteX7" fmla="*/ 541572 w 1424741"/>
                  <a:gd name="connsiteY7" fmla="*/ 101344 h 267869"/>
                  <a:gd name="connsiteX8" fmla="*/ 642902 w 1424741"/>
                  <a:gd name="connsiteY8" fmla="*/ 12173 h 267869"/>
                  <a:gd name="connsiteX9" fmla="*/ 707753 w 1424741"/>
                  <a:gd name="connsiteY9" fmla="*/ 105397 h 267869"/>
                  <a:gd name="connsiteX10" fmla="*/ 800976 w 1424741"/>
                  <a:gd name="connsiteY10" fmla="*/ 16227 h 267869"/>
                  <a:gd name="connsiteX11" fmla="*/ 898253 w 1424741"/>
                  <a:gd name="connsiteY11" fmla="*/ 109450 h 267869"/>
                  <a:gd name="connsiteX12" fmla="*/ 963104 w 1424741"/>
                  <a:gd name="connsiteY12" fmla="*/ 20280 h 267869"/>
                  <a:gd name="connsiteX13" fmla="*/ 1076593 w 1424741"/>
                  <a:gd name="connsiteY13" fmla="*/ 101344 h 267869"/>
                  <a:gd name="connsiteX14" fmla="*/ 1161710 w 1424741"/>
                  <a:gd name="connsiteY14" fmla="*/ 20280 h 267869"/>
                  <a:gd name="connsiteX15" fmla="*/ 1238721 w 1424741"/>
                  <a:gd name="connsiteY15" fmla="*/ 109450 h 267869"/>
                  <a:gd name="connsiteX16" fmla="*/ 1323838 w 1424741"/>
                  <a:gd name="connsiteY16" fmla="*/ 16227 h 267869"/>
                  <a:gd name="connsiteX17" fmla="*/ 1421115 w 1424741"/>
                  <a:gd name="connsiteY17" fmla="*/ 142608 h 267869"/>
                  <a:gd name="connsiteX18" fmla="*/ 1408954 w 1424741"/>
                  <a:gd name="connsiteY18" fmla="*/ 267869 h 267869"/>
                  <a:gd name="connsiteX0" fmla="*/ 6551 w 1426266"/>
                  <a:gd name="connsiteY0" fmla="*/ 264181 h 267869"/>
                  <a:gd name="connsiteX1" fmla="*/ 2498 w 1426266"/>
                  <a:gd name="connsiteY1" fmla="*/ 109451 h 267869"/>
                  <a:gd name="connsiteX2" fmla="*/ 59242 w 1426266"/>
                  <a:gd name="connsiteY2" fmla="*/ 14 h 267869"/>
                  <a:gd name="connsiteX3" fmla="*/ 144359 w 1426266"/>
                  <a:gd name="connsiteY3" fmla="*/ 101344 h 267869"/>
                  <a:gd name="connsiteX4" fmla="*/ 249742 w 1426266"/>
                  <a:gd name="connsiteY4" fmla="*/ 12173 h 267869"/>
                  <a:gd name="connsiteX5" fmla="*/ 351072 w 1426266"/>
                  <a:gd name="connsiteY5" fmla="*/ 105397 h 267869"/>
                  <a:gd name="connsiteX6" fmla="*/ 440242 w 1426266"/>
                  <a:gd name="connsiteY6" fmla="*/ 16227 h 267869"/>
                  <a:gd name="connsiteX7" fmla="*/ 541572 w 1426266"/>
                  <a:gd name="connsiteY7" fmla="*/ 101344 h 267869"/>
                  <a:gd name="connsiteX8" fmla="*/ 642902 w 1426266"/>
                  <a:gd name="connsiteY8" fmla="*/ 12173 h 267869"/>
                  <a:gd name="connsiteX9" fmla="*/ 707753 w 1426266"/>
                  <a:gd name="connsiteY9" fmla="*/ 105397 h 267869"/>
                  <a:gd name="connsiteX10" fmla="*/ 800976 w 1426266"/>
                  <a:gd name="connsiteY10" fmla="*/ 16227 h 267869"/>
                  <a:gd name="connsiteX11" fmla="*/ 898253 w 1426266"/>
                  <a:gd name="connsiteY11" fmla="*/ 109450 h 267869"/>
                  <a:gd name="connsiteX12" fmla="*/ 963104 w 1426266"/>
                  <a:gd name="connsiteY12" fmla="*/ 20280 h 267869"/>
                  <a:gd name="connsiteX13" fmla="*/ 1076593 w 1426266"/>
                  <a:gd name="connsiteY13" fmla="*/ 101344 h 267869"/>
                  <a:gd name="connsiteX14" fmla="*/ 1161710 w 1426266"/>
                  <a:gd name="connsiteY14" fmla="*/ 20280 h 267869"/>
                  <a:gd name="connsiteX15" fmla="*/ 1238721 w 1426266"/>
                  <a:gd name="connsiteY15" fmla="*/ 109450 h 267869"/>
                  <a:gd name="connsiteX16" fmla="*/ 1323838 w 1426266"/>
                  <a:gd name="connsiteY16" fmla="*/ 16227 h 267869"/>
                  <a:gd name="connsiteX17" fmla="*/ 1421115 w 1426266"/>
                  <a:gd name="connsiteY17" fmla="*/ 142608 h 267869"/>
                  <a:gd name="connsiteX18" fmla="*/ 1421110 w 1426266"/>
                  <a:gd name="connsiteY18" fmla="*/ 267869 h 267869"/>
                  <a:gd name="connsiteX0" fmla="*/ 6551 w 1421110"/>
                  <a:gd name="connsiteY0" fmla="*/ 264181 h 267869"/>
                  <a:gd name="connsiteX1" fmla="*/ 2498 w 1421110"/>
                  <a:gd name="connsiteY1" fmla="*/ 109451 h 267869"/>
                  <a:gd name="connsiteX2" fmla="*/ 59242 w 1421110"/>
                  <a:gd name="connsiteY2" fmla="*/ 14 h 267869"/>
                  <a:gd name="connsiteX3" fmla="*/ 144359 w 1421110"/>
                  <a:gd name="connsiteY3" fmla="*/ 101344 h 267869"/>
                  <a:gd name="connsiteX4" fmla="*/ 249742 w 1421110"/>
                  <a:gd name="connsiteY4" fmla="*/ 12173 h 267869"/>
                  <a:gd name="connsiteX5" fmla="*/ 351072 w 1421110"/>
                  <a:gd name="connsiteY5" fmla="*/ 105397 h 267869"/>
                  <a:gd name="connsiteX6" fmla="*/ 440242 w 1421110"/>
                  <a:gd name="connsiteY6" fmla="*/ 16227 h 267869"/>
                  <a:gd name="connsiteX7" fmla="*/ 541572 w 1421110"/>
                  <a:gd name="connsiteY7" fmla="*/ 101344 h 267869"/>
                  <a:gd name="connsiteX8" fmla="*/ 642902 w 1421110"/>
                  <a:gd name="connsiteY8" fmla="*/ 12173 h 267869"/>
                  <a:gd name="connsiteX9" fmla="*/ 707753 w 1421110"/>
                  <a:gd name="connsiteY9" fmla="*/ 105397 h 267869"/>
                  <a:gd name="connsiteX10" fmla="*/ 800976 w 1421110"/>
                  <a:gd name="connsiteY10" fmla="*/ 16227 h 267869"/>
                  <a:gd name="connsiteX11" fmla="*/ 898253 w 1421110"/>
                  <a:gd name="connsiteY11" fmla="*/ 109450 h 267869"/>
                  <a:gd name="connsiteX12" fmla="*/ 963104 w 1421110"/>
                  <a:gd name="connsiteY12" fmla="*/ 20280 h 267869"/>
                  <a:gd name="connsiteX13" fmla="*/ 1076593 w 1421110"/>
                  <a:gd name="connsiteY13" fmla="*/ 101344 h 267869"/>
                  <a:gd name="connsiteX14" fmla="*/ 1161710 w 1421110"/>
                  <a:gd name="connsiteY14" fmla="*/ 20280 h 267869"/>
                  <a:gd name="connsiteX15" fmla="*/ 1238721 w 1421110"/>
                  <a:gd name="connsiteY15" fmla="*/ 109450 h 267869"/>
                  <a:gd name="connsiteX16" fmla="*/ 1323838 w 1421110"/>
                  <a:gd name="connsiteY16" fmla="*/ 16227 h 267869"/>
                  <a:gd name="connsiteX17" fmla="*/ 1413010 w 1421110"/>
                  <a:gd name="connsiteY17" fmla="*/ 150897 h 267869"/>
                  <a:gd name="connsiteX18" fmla="*/ 1421110 w 1421110"/>
                  <a:gd name="connsiteY18" fmla="*/ 267869 h 26786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</a:cxnLst>
                <a:rect l="l" t="t" r="r" b="b"/>
                <a:pathLst>
                  <a:path w="1421110" h="267869">
                    <a:moveTo>
                      <a:pt x="6551" y="264181"/>
                    </a:moveTo>
                    <a:cubicBezTo>
                      <a:pt x="11280" y="243919"/>
                      <a:pt x="-6284" y="153479"/>
                      <a:pt x="2498" y="109451"/>
                    </a:cubicBezTo>
                    <a:cubicBezTo>
                      <a:pt x="11280" y="65423"/>
                      <a:pt x="35599" y="1365"/>
                      <a:pt x="59242" y="14"/>
                    </a:cubicBezTo>
                    <a:cubicBezTo>
                      <a:pt x="82885" y="-1337"/>
                      <a:pt x="112609" y="99318"/>
                      <a:pt x="144359" y="101344"/>
                    </a:cubicBezTo>
                    <a:cubicBezTo>
                      <a:pt x="176109" y="103370"/>
                      <a:pt x="215290" y="11498"/>
                      <a:pt x="249742" y="12173"/>
                    </a:cubicBezTo>
                    <a:cubicBezTo>
                      <a:pt x="284194" y="12848"/>
                      <a:pt x="319322" y="104721"/>
                      <a:pt x="351072" y="105397"/>
                    </a:cubicBezTo>
                    <a:cubicBezTo>
                      <a:pt x="382822" y="106073"/>
                      <a:pt x="408492" y="16902"/>
                      <a:pt x="440242" y="16227"/>
                    </a:cubicBezTo>
                    <a:cubicBezTo>
                      <a:pt x="471992" y="15552"/>
                      <a:pt x="507795" y="102020"/>
                      <a:pt x="541572" y="101344"/>
                    </a:cubicBezTo>
                    <a:cubicBezTo>
                      <a:pt x="575349" y="100668"/>
                      <a:pt x="615205" y="11498"/>
                      <a:pt x="642902" y="12173"/>
                    </a:cubicBezTo>
                    <a:cubicBezTo>
                      <a:pt x="670599" y="12848"/>
                      <a:pt x="681407" y="104721"/>
                      <a:pt x="707753" y="105397"/>
                    </a:cubicBezTo>
                    <a:cubicBezTo>
                      <a:pt x="734099" y="106073"/>
                      <a:pt x="769226" y="15552"/>
                      <a:pt x="800976" y="16227"/>
                    </a:cubicBezTo>
                    <a:cubicBezTo>
                      <a:pt x="832726" y="16902"/>
                      <a:pt x="871232" y="108775"/>
                      <a:pt x="898253" y="109450"/>
                    </a:cubicBezTo>
                    <a:cubicBezTo>
                      <a:pt x="925274" y="110126"/>
                      <a:pt x="933381" y="21631"/>
                      <a:pt x="963104" y="20280"/>
                    </a:cubicBezTo>
                    <a:cubicBezTo>
                      <a:pt x="992827" y="18929"/>
                      <a:pt x="1043492" y="101344"/>
                      <a:pt x="1076593" y="101344"/>
                    </a:cubicBezTo>
                    <a:cubicBezTo>
                      <a:pt x="1109694" y="101344"/>
                      <a:pt x="1134689" y="18929"/>
                      <a:pt x="1161710" y="20280"/>
                    </a:cubicBezTo>
                    <a:cubicBezTo>
                      <a:pt x="1188731" y="21631"/>
                      <a:pt x="1211700" y="110126"/>
                      <a:pt x="1238721" y="109450"/>
                    </a:cubicBezTo>
                    <a:cubicBezTo>
                      <a:pt x="1265742" y="108775"/>
                      <a:pt x="1294790" y="9319"/>
                      <a:pt x="1323838" y="16227"/>
                    </a:cubicBezTo>
                    <a:cubicBezTo>
                      <a:pt x="1352886" y="23135"/>
                      <a:pt x="1398824" y="108957"/>
                      <a:pt x="1413010" y="150897"/>
                    </a:cubicBezTo>
                    <a:cubicBezTo>
                      <a:pt x="1427196" y="192837"/>
                      <a:pt x="1415031" y="253900"/>
                      <a:pt x="1421110" y="267869"/>
                    </a:cubicBezTo>
                  </a:path>
                </a:pathLst>
              </a:custGeom>
              <a:solidFill>
                <a:schemeClr val="bg1">
                  <a:lumMod val="75000"/>
                </a:schemeClr>
              </a:solidFill>
              <a:ln w="9525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64" name="Freeform 963">
                <a:extLst>
                  <a:ext uri="{FF2B5EF4-FFF2-40B4-BE49-F238E27FC236}">
                    <a16:creationId xmlns:a16="http://schemas.microsoft.com/office/drawing/2014/main" id="{00000000-0008-0000-0300-0000C4030000}"/>
                  </a:ext>
                </a:extLst>
              </xdr:cNvPr>
              <xdr:cNvSpPr/>
            </xdr:nvSpPr>
            <xdr:spPr>
              <a:xfrm>
                <a:off x="513468" y="35630288"/>
                <a:ext cx="1223063" cy="247421"/>
              </a:xfrm>
              <a:custGeom>
                <a:avLst/>
                <a:gdLst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748299 w 1901927"/>
                  <a:gd name="connsiteY4" fmla="*/ 193573 h 316476"/>
                  <a:gd name="connsiteX5" fmla="*/ 1898855 w 1901927"/>
                  <a:gd name="connsiteY5" fmla="*/ 193573 h 316476"/>
                  <a:gd name="connsiteX6" fmla="*/ 1898855 w 1901927"/>
                  <a:gd name="connsiteY6" fmla="*/ 316476 h 316476"/>
                  <a:gd name="connsiteX7" fmla="*/ 1901927 w 1901927"/>
                  <a:gd name="connsiteY7" fmla="*/ 310331 h 316476"/>
                  <a:gd name="connsiteX0" fmla="*/ 0 w 1901927"/>
                  <a:gd name="connsiteY0" fmla="*/ 310331 h 316476"/>
                  <a:gd name="connsiteX1" fmla="*/ 0 w 1901927"/>
                  <a:gd name="connsiteY1" fmla="*/ 193573 h 316476"/>
                  <a:gd name="connsiteX2" fmla="*/ 344129 w 1901927"/>
                  <a:gd name="connsiteY2" fmla="*/ 0 h 316476"/>
                  <a:gd name="connsiteX3" fmla="*/ 1554726 w 1901927"/>
                  <a:gd name="connsiteY3" fmla="*/ 0 h 316476"/>
                  <a:gd name="connsiteX4" fmla="*/ 1898855 w 1901927"/>
                  <a:gd name="connsiteY4" fmla="*/ 193573 h 316476"/>
                  <a:gd name="connsiteX5" fmla="*/ 1898855 w 1901927"/>
                  <a:gd name="connsiteY5" fmla="*/ 316476 h 316476"/>
                  <a:gd name="connsiteX6" fmla="*/ 1901927 w 1901927"/>
                  <a:gd name="connsiteY6" fmla="*/ 310331 h 3164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1901927" h="316476">
                    <a:moveTo>
                      <a:pt x="0" y="310331"/>
                    </a:moveTo>
                    <a:lnTo>
                      <a:pt x="0" y="193573"/>
                    </a:lnTo>
                    <a:lnTo>
                      <a:pt x="344129" y="0"/>
                    </a:lnTo>
                    <a:lnTo>
                      <a:pt x="1554726" y="0"/>
                    </a:lnTo>
                    <a:lnTo>
                      <a:pt x="1898855" y="193573"/>
                    </a:lnTo>
                    <a:lnTo>
                      <a:pt x="1898855" y="316476"/>
                    </a:lnTo>
                    <a:lnTo>
                      <a:pt x="1901927" y="310331"/>
                    </a:lnTo>
                  </a:path>
                </a:pathLst>
              </a:cu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65" name="Rectangle 964">
                <a:extLst>
                  <a:ext uri="{FF2B5EF4-FFF2-40B4-BE49-F238E27FC236}">
                    <a16:creationId xmlns:a16="http://schemas.microsoft.com/office/drawing/2014/main" id="{00000000-0008-0000-0300-0000C5030000}"/>
                  </a:ext>
                </a:extLst>
              </xdr:cNvPr>
              <xdr:cNvSpPr/>
            </xdr:nvSpPr>
            <xdr:spPr>
              <a:xfrm>
                <a:off x="844831" y="36386096"/>
                <a:ext cx="560335" cy="190634"/>
              </a:xfrm>
              <a:prstGeom prst="rect">
                <a:avLst/>
              </a:prstGeom>
              <a:noFill/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66" name="Rectangle 965">
                <a:extLst>
                  <a:ext uri="{FF2B5EF4-FFF2-40B4-BE49-F238E27FC236}">
                    <a16:creationId xmlns:a16="http://schemas.microsoft.com/office/drawing/2014/main" id="{00000000-0008-0000-0300-0000C6030000}"/>
                  </a:ext>
                </a:extLst>
              </xdr:cNvPr>
              <xdr:cNvSpPr/>
            </xdr:nvSpPr>
            <xdr:spPr>
              <a:xfrm>
                <a:off x="470858" y="35861128"/>
                <a:ext cx="1308281" cy="523236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67" name="Rectangle 966">
                <a:extLst>
                  <a:ext uri="{FF2B5EF4-FFF2-40B4-BE49-F238E27FC236}">
                    <a16:creationId xmlns:a16="http://schemas.microsoft.com/office/drawing/2014/main" id="{00000000-0008-0000-0300-0000C7030000}"/>
                  </a:ext>
                </a:extLst>
              </xdr:cNvPr>
              <xdr:cNvSpPr/>
            </xdr:nvSpPr>
            <xdr:spPr>
              <a:xfrm>
                <a:off x="521350" y="35915881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68" name="Rectangle 967">
                <a:extLst>
                  <a:ext uri="{FF2B5EF4-FFF2-40B4-BE49-F238E27FC236}">
                    <a16:creationId xmlns:a16="http://schemas.microsoft.com/office/drawing/2014/main" id="{00000000-0008-0000-0300-0000C8030000}"/>
                  </a:ext>
                </a:extLst>
              </xdr:cNvPr>
              <xdr:cNvSpPr/>
            </xdr:nvSpPr>
            <xdr:spPr>
              <a:xfrm>
                <a:off x="521350" y="36008750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69" name="Rectangle 968">
                <a:extLst>
                  <a:ext uri="{FF2B5EF4-FFF2-40B4-BE49-F238E27FC236}">
                    <a16:creationId xmlns:a16="http://schemas.microsoft.com/office/drawing/2014/main" id="{00000000-0008-0000-0300-0000C9030000}"/>
                  </a:ext>
                </a:extLst>
              </xdr:cNvPr>
              <xdr:cNvSpPr/>
            </xdr:nvSpPr>
            <xdr:spPr>
              <a:xfrm>
                <a:off x="521350" y="36101619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70" name="Rectangle 969">
                <a:extLst>
                  <a:ext uri="{FF2B5EF4-FFF2-40B4-BE49-F238E27FC236}">
                    <a16:creationId xmlns:a16="http://schemas.microsoft.com/office/drawing/2014/main" id="{00000000-0008-0000-0300-0000CA030000}"/>
                  </a:ext>
                </a:extLst>
              </xdr:cNvPr>
              <xdr:cNvSpPr/>
            </xdr:nvSpPr>
            <xdr:spPr>
              <a:xfrm>
                <a:off x="521350" y="36194488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971" name="Rectangle 970">
                <a:extLst>
                  <a:ext uri="{FF2B5EF4-FFF2-40B4-BE49-F238E27FC236}">
                    <a16:creationId xmlns:a16="http://schemas.microsoft.com/office/drawing/2014/main" id="{00000000-0008-0000-0300-0000CB030000}"/>
                  </a:ext>
                </a:extLst>
              </xdr:cNvPr>
              <xdr:cNvSpPr/>
            </xdr:nvSpPr>
            <xdr:spPr>
              <a:xfrm>
                <a:off x="521350" y="36287356"/>
                <a:ext cx="1185954" cy="45720"/>
              </a:xfrm>
              <a:prstGeom prst="rect">
                <a:avLst/>
              </a:prstGeom>
              <a:solidFill>
                <a:schemeClr val="bg1"/>
              </a:solidFill>
              <a:ln w="952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 defTabSz="914400" rtl="0" eaLnBrk="1" latinLnBrk="0" hangingPunct="1"/>
                <a:endParaRPr lang="en-GB" sz="11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952" name="Group 951">
              <a:extLst>
                <a:ext uri="{FF2B5EF4-FFF2-40B4-BE49-F238E27FC236}">
                  <a16:creationId xmlns:a16="http://schemas.microsoft.com/office/drawing/2014/main" id="{00000000-0008-0000-0300-0000B8030000}"/>
                </a:ext>
              </a:extLst>
            </xdr:cNvPr>
            <xdr:cNvGrpSpPr/>
          </xdr:nvGrpSpPr>
          <xdr:grpSpPr>
            <a:xfrm>
              <a:off x="732233" y="32599313"/>
              <a:ext cx="642939" cy="168555"/>
              <a:chOff x="3305175" y="4676775"/>
              <a:chExt cx="1457325" cy="504825"/>
            </a:xfrm>
          </xdr:grpSpPr>
          <xdr:sp macro="" textlink="">
            <xdr:nvSpPr>
              <xdr:cNvPr id="953" name="Arc 952">
                <a:extLst>
                  <a:ext uri="{FF2B5EF4-FFF2-40B4-BE49-F238E27FC236}">
                    <a16:creationId xmlns:a16="http://schemas.microsoft.com/office/drawing/2014/main" id="{00000000-0008-0000-0300-0000B9030000}"/>
                  </a:ext>
                </a:extLst>
              </xdr:cNvPr>
              <xdr:cNvSpPr/>
            </xdr:nvSpPr>
            <xdr:spPr>
              <a:xfrm rot="10800000">
                <a:off x="3619500" y="46767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4" name="Arc 953">
                <a:extLst>
                  <a:ext uri="{FF2B5EF4-FFF2-40B4-BE49-F238E27FC236}">
                    <a16:creationId xmlns:a16="http://schemas.microsoft.com/office/drawing/2014/main" id="{00000000-0008-0000-0300-0000BA030000}"/>
                  </a:ext>
                </a:extLst>
              </xdr:cNvPr>
              <xdr:cNvSpPr/>
            </xdr:nvSpPr>
            <xdr:spPr>
              <a:xfrm rot="10800000">
                <a:off x="3543300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5" name="Arc 954">
                <a:extLst>
                  <a:ext uri="{FF2B5EF4-FFF2-40B4-BE49-F238E27FC236}">
                    <a16:creationId xmlns:a16="http://schemas.microsoft.com/office/drawing/2014/main" id="{00000000-0008-0000-0300-0000BB030000}"/>
                  </a:ext>
                </a:extLst>
              </xdr:cNvPr>
              <xdr:cNvSpPr/>
            </xdr:nvSpPr>
            <xdr:spPr>
              <a:xfrm rot="10800000">
                <a:off x="3562350" y="49625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6" name="Arc 955">
                <a:extLst>
                  <a:ext uri="{FF2B5EF4-FFF2-40B4-BE49-F238E27FC236}">
                    <a16:creationId xmlns:a16="http://schemas.microsoft.com/office/drawing/2014/main" id="{00000000-0008-0000-0300-0000BC030000}"/>
                  </a:ext>
                </a:extLst>
              </xdr:cNvPr>
              <xdr:cNvSpPr/>
            </xdr:nvSpPr>
            <xdr:spPr>
              <a:xfrm rot="10800000">
                <a:off x="3305175" y="479107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7" name="Arc 956">
                <a:extLst>
                  <a:ext uri="{FF2B5EF4-FFF2-40B4-BE49-F238E27FC236}">
                    <a16:creationId xmlns:a16="http://schemas.microsoft.com/office/drawing/2014/main" id="{00000000-0008-0000-0300-0000BD030000}"/>
                  </a:ext>
                </a:extLst>
              </xdr:cNvPr>
              <xdr:cNvSpPr/>
            </xdr:nvSpPr>
            <xdr:spPr>
              <a:xfrm rot="9829482">
                <a:off x="4095749" y="4857751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8" name="Arc 957">
                <a:extLst>
                  <a:ext uri="{FF2B5EF4-FFF2-40B4-BE49-F238E27FC236}">
                    <a16:creationId xmlns:a16="http://schemas.microsoft.com/office/drawing/2014/main" id="{00000000-0008-0000-0300-0000BE030000}"/>
                  </a:ext>
                </a:extLst>
              </xdr:cNvPr>
              <xdr:cNvSpPr/>
            </xdr:nvSpPr>
            <xdr:spPr>
              <a:xfrm rot="9861198">
                <a:off x="3867150" y="49244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59" name="Arc 958">
                <a:extLst>
                  <a:ext uri="{FF2B5EF4-FFF2-40B4-BE49-F238E27FC236}">
                    <a16:creationId xmlns:a16="http://schemas.microsoft.com/office/drawing/2014/main" id="{00000000-0008-0000-0300-0000BF030000}"/>
                  </a:ext>
                </a:extLst>
              </xdr:cNvPr>
              <xdr:cNvSpPr/>
            </xdr:nvSpPr>
            <xdr:spPr>
              <a:xfrm rot="10800000" flipH="1">
                <a:off x="3609975" y="4733925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60" name="Arc 959">
                <a:extLst>
                  <a:ext uri="{FF2B5EF4-FFF2-40B4-BE49-F238E27FC236}">
                    <a16:creationId xmlns:a16="http://schemas.microsoft.com/office/drawing/2014/main" id="{00000000-0008-0000-0300-0000C0030000}"/>
                  </a:ext>
                </a:extLst>
              </xdr:cNvPr>
              <xdr:cNvSpPr/>
            </xdr:nvSpPr>
            <xdr:spPr>
              <a:xfrm rot="10800000" flipH="1">
                <a:off x="3876675" y="47625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61" name="Arc 960">
                <a:extLst>
                  <a:ext uri="{FF2B5EF4-FFF2-40B4-BE49-F238E27FC236}">
                    <a16:creationId xmlns:a16="http://schemas.microsoft.com/office/drawing/2014/main" id="{00000000-0008-0000-0300-0000C1030000}"/>
                  </a:ext>
                </a:extLst>
              </xdr:cNvPr>
              <xdr:cNvSpPr/>
            </xdr:nvSpPr>
            <xdr:spPr>
              <a:xfrm rot="10800000" flipH="1">
                <a:off x="4114800" y="483870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  <xdr:sp macro="" textlink="">
            <xdr:nvSpPr>
              <xdr:cNvPr id="962" name="Arc 961">
                <a:extLst>
                  <a:ext uri="{FF2B5EF4-FFF2-40B4-BE49-F238E27FC236}">
                    <a16:creationId xmlns:a16="http://schemas.microsoft.com/office/drawing/2014/main" id="{00000000-0008-0000-0300-0000C2030000}"/>
                  </a:ext>
                </a:extLst>
              </xdr:cNvPr>
              <xdr:cNvSpPr/>
            </xdr:nvSpPr>
            <xdr:spPr>
              <a:xfrm rot="10800000" flipH="1">
                <a:off x="4191000" y="4705350"/>
                <a:ext cx="571500" cy="219075"/>
              </a:xfrm>
              <a:prstGeom prst="arc">
                <a:avLst/>
              </a:prstGeom>
              <a:ln w="6350"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800"/>
              </a:p>
            </xdr:txBody>
          </xdr:sp>
        </xdr:grpSp>
      </xdr:grpSp>
    </xdr:grpSp>
    <xdr:clientData/>
  </xdr:twoCellAnchor>
  <xdr:oneCellAnchor>
    <xdr:from>
      <xdr:col>5</xdr:col>
      <xdr:colOff>114300</xdr:colOff>
      <xdr:row>145</xdr:row>
      <xdr:rowOff>64502</xdr:rowOff>
    </xdr:from>
    <xdr:ext cx="745269" cy="561885"/>
    <xdr:sp macro="" textlink="">
      <xdr:nvSpPr>
        <xdr:cNvPr id="978" name="TextBox 977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SpPr txBox="1"/>
      </xdr:nvSpPr>
      <xdr:spPr>
        <a:xfrm>
          <a:off x="2266950" y="23600777"/>
          <a:ext cx="745269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/>
            <a:t>Condenser</a:t>
          </a:r>
        </a:p>
        <a:p>
          <a:r>
            <a:rPr lang="en-US" sz="1000"/>
            <a:t>Heat </a:t>
          </a:r>
          <a:br>
            <a:rPr lang="en-US" sz="1000"/>
          </a:br>
          <a:r>
            <a:rPr lang="en-US" sz="1000"/>
            <a:t>Rejected:</a:t>
          </a:r>
        </a:p>
      </xdr:txBody>
    </xdr:sp>
    <xdr:clientData/>
  </xdr:oneCellAnchor>
  <xdr:twoCellAnchor>
    <xdr:from>
      <xdr:col>14</xdr:col>
      <xdr:colOff>100109</xdr:colOff>
      <xdr:row>144</xdr:row>
      <xdr:rowOff>141612</xdr:rowOff>
    </xdr:from>
    <xdr:to>
      <xdr:col>14</xdr:col>
      <xdr:colOff>177316</xdr:colOff>
      <xdr:row>145</xdr:row>
      <xdr:rowOff>39466</xdr:rowOff>
    </xdr:to>
    <xdr:sp macro="" textlink="">
      <xdr:nvSpPr>
        <xdr:cNvPr id="979" name="Rectangle 978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SpPr/>
      </xdr:nvSpPr>
      <xdr:spPr>
        <a:xfrm>
          <a:off x="4853084" y="24001737"/>
          <a:ext cx="77207" cy="597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32</xdr:col>
      <xdr:colOff>38100</xdr:colOff>
      <xdr:row>72</xdr:row>
      <xdr:rowOff>57150</xdr:rowOff>
    </xdr:from>
    <xdr:to>
      <xdr:col>45</xdr:col>
      <xdr:colOff>419100</xdr:colOff>
      <xdr:row>101</xdr:row>
      <xdr:rowOff>76200</xdr:rowOff>
    </xdr:to>
    <xdr:sp macro="" textlink="">
      <xdr:nvSpPr>
        <xdr:cNvPr id="764" name="Rectangle 763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SpPr/>
      </xdr:nvSpPr>
      <xdr:spPr>
        <a:xfrm>
          <a:off x="9115425" y="11772900"/>
          <a:ext cx="6162675" cy="4714875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41</xdr:col>
      <xdr:colOff>352424</xdr:colOff>
      <xdr:row>118</xdr:row>
      <xdr:rowOff>95250</xdr:rowOff>
    </xdr:from>
    <xdr:to>
      <xdr:col>44</xdr:col>
      <xdr:colOff>39831</xdr:colOff>
      <xdr:row>123</xdr:row>
      <xdr:rowOff>114300</xdr:rowOff>
    </xdr:to>
    <xdr:pic>
      <xdr:nvPicPr>
        <xdr:cNvPr id="766" name="picTrickli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4111" t="10573" r="75690" b="66430"/>
        <a:stretch/>
      </xdr:blipFill>
      <xdr:spPr>
        <a:xfrm>
          <a:off x="12468224" y="19459575"/>
          <a:ext cx="1076325" cy="828675"/>
        </a:xfrm>
        <a:prstGeom prst="rect">
          <a:avLst/>
        </a:prstGeom>
      </xdr:spPr>
    </xdr:pic>
    <xdr:clientData/>
  </xdr:twoCellAnchor>
  <xdr:twoCellAnchor editAs="oneCell">
    <xdr:from>
      <xdr:col>37</xdr:col>
      <xdr:colOff>123825</xdr:colOff>
      <xdr:row>118</xdr:row>
      <xdr:rowOff>66675</xdr:rowOff>
    </xdr:from>
    <xdr:to>
      <xdr:col>39</xdr:col>
      <xdr:colOff>552451</xdr:colOff>
      <xdr:row>122</xdr:row>
      <xdr:rowOff>38101</xdr:rowOff>
    </xdr:to>
    <xdr:pic>
      <xdr:nvPicPr>
        <xdr:cNvPr id="767" name="picClarifier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59167" t="31984" r="23851" b="50834"/>
        <a:stretch/>
      </xdr:blipFill>
      <xdr:spPr>
        <a:xfrm>
          <a:off x="10391775" y="19431000"/>
          <a:ext cx="904876" cy="619126"/>
        </a:xfrm>
        <a:prstGeom prst="rect">
          <a:avLst/>
        </a:prstGeom>
      </xdr:spPr>
    </xdr:pic>
    <xdr:clientData/>
  </xdr:twoCellAnchor>
  <xdr:twoCellAnchor editAs="oneCell">
    <xdr:from>
      <xdr:col>32</xdr:col>
      <xdr:colOff>161925</xdr:colOff>
      <xdr:row>123</xdr:row>
      <xdr:rowOff>38100</xdr:rowOff>
    </xdr:from>
    <xdr:to>
      <xdr:col>35</xdr:col>
      <xdr:colOff>152400</xdr:colOff>
      <xdr:row>127</xdr:row>
      <xdr:rowOff>9526</xdr:rowOff>
    </xdr:to>
    <xdr:pic>
      <xdr:nvPicPr>
        <xdr:cNvPr id="768" name="picGravity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4908" t="34099" r="1865" b="48720"/>
        <a:stretch/>
      </xdr:blipFill>
      <xdr:spPr>
        <a:xfrm>
          <a:off x="9239250" y="20212050"/>
          <a:ext cx="704850" cy="619126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76</xdr:row>
      <xdr:rowOff>0</xdr:rowOff>
    </xdr:from>
    <xdr:to>
      <xdr:col>37</xdr:col>
      <xdr:colOff>57150</xdr:colOff>
      <xdr:row>96</xdr:row>
      <xdr:rowOff>38100</xdr:rowOff>
    </xdr:to>
    <xdr:cxnSp macro="">
      <xdr:nvCxnSpPr>
        <xdr:cNvPr id="765" name="Straight Arrow Connector 764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CxnSpPr/>
      </xdr:nvCxnSpPr>
      <xdr:spPr>
        <a:xfrm>
          <a:off x="10325100" y="12363450"/>
          <a:ext cx="0" cy="3276600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40</xdr:col>
      <xdr:colOff>351729</xdr:colOff>
      <xdr:row>133</xdr:row>
      <xdr:rowOff>16328</xdr:rowOff>
    </xdr:from>
    <xdr:to>
      <xdr:col>42</xdr:col>
      <xdr:colOff>145400</xdr:colOff>
      <xdr:row>142</xdr:row>
      <xdr:rowOff>63728</xdr:rowOff>
    </xdr:to>
    <xdr:cxnSp macro="">
      <xdr:nvCxnSpPr>
        <xdr:cNvPr id="772" name="Elbow Connector 771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CxnSpPr/>
      </xdr:nvCxnSpPr>
      <xdr:spPr>
        <a:xfrm rot="16200000" flipV="1">
          <a:off x="11714396" y="21782802"/>
          <a:ext cx="1515838" cy="1162889"/>
        </a:xfrm>
        <a:prstGeom prst="bentConnector3">
          <a:avLst>
            <a:gd name="adj1" fmla="val 35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39</xdr:col>
      <xdr:colOff>682486</xdr:colOff>
      <xdr:row>141</xdr:row>
      <xdr:rowOff>187324</xdr:rowOff>
    </xdr:from>
    <xdr:to>
      <xdr:col>41</xdr:col>
      <xdr:colOff>194113</xdr:colOff>
      <xdr:row>144</xdr:row>
      <xdr:rowOff>104541</xdr:rowOff>
    </xdr:to>
    <xdr:grpSp>
      <xdr:nvGrpSpPr>
        <xdr:cNvPr id="773" name="cooling pond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GrpSpPr/>
      </xdr:nvGrpSpPr>
      <xdr:grpSpPr>
        <a:xfrm>
          <a:off x="11426686" y="23475949"/>
          <a:ext cx="988002" cy="441092"/>
          <a:chOff x="7290242" y="5191604"/>
          <a:chExt cx="1558305" cy="293589"/>
        </a:xfrm>
      </xdr:grpSpPr>
      <xdr:cxnSp macro="">
        <xdr:nvCxnSpPr>
          <xdr:cNvPr id="774" name="Straight Arrow Connector 773">
            <a:extLst>
              <a:ext uri="{FF2B5EF4-FFF2-40B4-BE49-F238E27FC236}">
                <a16:creationId xmlns:a16="http://schemas.microsoft.com/office/drawing/2014/main" id="{00000000-0008-0000-0300-000006030000}"/>
              </a:ext>
            </a:extLst>
          </xdr:cNvPr>
          <xdr:cNvCxnSpPr/>
        </xdr:nvCxnSpPr>
        <xdr:spPr>
          <a:xfrm flipH="1" flipV="1">
            <a:off x="8659991" y="5238894"/>
            <a:ext cx="188556" cy="164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775" name="Group 774">
            <a:extLst>
              <a:ext uri="{FF2B5EF4-FFF2-40B4-BE49-F238E27FC236}">
                <a16:creationId xmlns:a16="http://schemas.microsoft.com/office/drawing/2014/main" id="{00000000-0008-0000-0300-000007030000}"/>
              </a:ext>
            </a:extLst>
          </xdr:cNvPr>
          <xdr:cNvGrpSpPr/>
        </xdr:nvGrpSpPr>
        <xdr:grpSpPr>
          <a:xfrm>
            <a:off x="7290242" y="5191604"/>
            <a:ext cx="1423151" cy="293589"/>
            <a:chOff x="3609975" y="4810125"/>
            <a:chExt cx="1764000" cy="363426"/>
          </a:xfrm>
        </xdr:grpSpPr>
        <xdr:cxnSp macro="">
          <xdr:nvCxnSpPr>
            <xdr:cNvPr id="776" name="Straight Connector 775">
              <a:extLst>
                <a:ext uri="{FF2B5EF4-FFF2-40B4-BE49-F238E27FC236}">
                  <a16:creationId xmlns:a16="http://schemas.microsoft.com/office/drawing/2014/main" id="{00000000-0008-0000-0300-000008030000}"/>
                </a:ext>
              </a:extLst>
            </xdr:cNvPr>
            <xdr:cNvCxnSpPr/>
          </xdr:nvCxnSpPr>
          <xdr:spPr>
            <a:xfrm>
              <a:off x="3609975" y="4867275"/>
              <a:ext cx="1764000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77" name="Freeform 776">
              <a:extLst>
                <a:ext uri="{FF2B5EF4-FFF2-40B4-BE49-F238E27FC236}">
                  <a16:creationId xmlns:a16="http://schemas.microsoft.com/office/drawing/2014/main" id="{00000000-0008-0000-0300-000009030000}"/>
                </a:ext>
              </a:extLst>
            </xdr:cNvPr>
            <xdr:cNvSpPr/>
          </xdr:nvSpPr>
          <xdr:spPr>
            <a:xfrm>
              <a:off x="3733800" y="4810125"/>
              <a:ext cx="1512000" cy="104776"/>
            </a:xfrm>
            <a:custGeom>
              <a:avLst/>
              <a:gdLst>
                <a:gd name="connsiteX0" fmla="*/ 0 w 1410510"/>
                <a:gd name="connsiteY0" fmla="*/ 50247 h 111048"/>
                <a:gd name="connsiteX1" fmla="*/ 52691 w 1410510"/>
                <a:gd name="connsiteY1" fmla="*/ 1609 h 111048"/>
                <a:gd name="connsiteX2" fmla="*/ 137808 w 1410510"/>
                <a:gd name="connsiteY2" fmla="*/ 102939 h 111048"/>
                <a:gd name="connsiteX3" fmla="*/ 243191 w 1410510"/>
                <a:gd name="connsiteY3" fmla="*/ 13768 h 111048"/>
                <a:gd name="connsiteX4" fmla="*/ 344521 w 1410510"/>
                <a:gd name="connsiteY4" fmla="*/ 106992 h 111048"/>
                <a:gd name="connsiteX5" fmla="*/ 433691 w 1410510"/>
                <a:gd name="connsiteY5" fmla="*/ 17822 h 111048"/>
                <a:gd name="connsiteX6" fmla="*/ 535021 w 1410510"/>
                <a:gd name="connsiteY6" fmla="*/ 102939 h 111048"/>
                <a:gd name="connsiteX7" fmla="*/ 636351 w 1410510"/>
                <a:gd name="connsiteY7" fmla="*/ 13768 h 111048"/>
                <a:gd name="connsiteX8" fmla="*/ 701202 w 1410510"/>
                <a:gd name="connsiteY8" fmla="*/ 106992 h 111048"/>
                <a:gd name="connsiteX9" fmla="*/ 794425 w 1410510"/>
                <a:gd name="connsiteY9" fmla="*/ 17822 h 111048"/>
                <a:gd name="connsiteX10" fmla="*/ 891702 w 1410510"/>
                <a:gd name="connsiteY10" fmla="*/ 111045 h 111048"/>
                <a:gd name="connsiteX11" fmla="*/ 956553 w 1410510"/>
                <a:gd name="connsiteY11" fmla="*/ 21875 h 111048"/>
                <a:gd name="connsiteX12" fmla="*/ 1070042 w 1410510"/>
                <a:gd name="connsiteY12" fmla="*/ 102939 h 111048"/>
                <a:gd name="connsiteX13" fmla="*/ 1155159 w 1410510"/>
                <a:gd name="connsiteY13" fmla="*/ 21875 h 111048"/>
                <a:gd name="connsiteX14" fmla="*/ 1232170 w 1410510"/>
                <a:gd name="connsiteY14" fmla="*/ 111045 h 111048"/>
                <a:gd name="connsiteX15" fmla="*/ 1317287 w 1410510"/>
                <a:gd name="connsiteY15" fmla="*/ 17822 h 111048"/>
                <a:gd name="connsiteX16" fmla="*/ 1410510 w 1410510"/>
                <a:gd name="connsiteY16" fmla="*/ 70513 h 111048"/>
                <a:gd name="connsiteX0" fmla="*/ 0 w 1418616"/>
                <a:gd name="connsiteY0" fmla="*/ 50247 h 128541"/>
                <a:gd name="connsiteX1" fmla="*/ 52691 w 1418616"/>
                <a:gd name="connsiteY1" fmla="*/ 1609 h 128541"/>
                <a:gd name="connsiteX2" fmla="*/ 137808 w 1418616"/>
                <a:gd name="connsiteY2" fmla="*/ 102939 h 128541"/>
                <a:gd name="connsiteX3" fmla="*/ 243191 w 1418616"/>
                <a:gd name="connsiteY3" fmla="*/ 13768 h 128541"/>
                <a:gd name="connsiteX4" fmla="*/ 344521 w 1418616"/>
                <a:gd name="connsiteY4" fmla="*/ 106992 h 128541"/>
                <a:gd name="connsiteX5" fmla="*/ 433691 w 1418616"/>
                <a:gd name="connsiteY5" fmla="*/ 17822 h 128541"/>
                <a:gd name="connsiteX6" fmla="*/ 535021 w 1418616"/>
                <a:gd name="connsiteY6" fmla="*/ 102939 h 128541"/>
                <a:gd name="connsiteX7" fmla="*/ 636351 w 1418616"/>
                <a:gd name="connsiteY7" fmla="*/ 13768 h 128541"/>
                <a:gd name="connsiteX8" fmla="*/ 701202 w 1418616"/>
                <a:gd name="connsiteY8" fmla="*/ 106992 h 128541"/>
                <a:gd name="connsiteX9" fmla="*/ 794425 w 1418616"/>
                <a:gd name="connsiteY9" fmla="*/ 17822 h 128541"/>
                <a:gd name="connsiteX10" fmla="*/ 891702 w 1418616"/>
                <a:gd name="connsiteY10" fmla="*/ 111045 h 128541"/>
                <a:gd name="connsiteX11" fmla="*/ 956553 w 1418616"/>
                <a:gd name="connsiteY11" fmla="*/ 21875 h 128541"/>
                <a:gd name="connsiteX12" fmla="*/ 1070042 w 1418616"/>
                <a:gd name="connsiteY12" fmla="*/ 102939 h 128541"/>
                <a:gd name="connsiteX13" fmla="*/ 1155159 w 1418616"/>
                <a:gd name="connsiteY13" fmla="*/ 21875 h 128541"/>
                <a:gd name="connsiteX14" fmla="*/ 1232170 w 1418616"/>
                <a:gd name="connsiteY14" fmla="*/ 111045 h 128541"/>
                <a:gd name="connsiteX15" fmla="*/ 1317287 w 1418616"/>
                <a:gd name="connsiteY15" fmla="*/ 17822 h 128541"/>
                <a:gd name="connsiteX16" fmla="*/ 1418616 w 1418616"/>
                <a:gd name="connsiteY16" fmla="*/ 128541 h 128541"/>
                <a:gd name="connsiteX0" fmla="*/ 0 w 1418616"/>
                <a:gd name="connsiteY0" fmla="*/ 267983 h 267983"/>
                <a:gd name="connsiteX1" fmla="*/ 52691 w 1418616"/>
                <a:gd name="connsiteY1" fmla="*/ 3816 h 267983"/>
                <a:gd name="connsiteX2" fmla="*/ 137808 w 1418616"/>
                <a:gd name="connsiteY2" fmla="*/ 105146 h 267983"/>
                <a:gd name="connsiteX3" fmla="*/ 243191 w 1418616"/>
                <a:gd name="connsiteY3" fmla="*/ 15975 h 267983"/>
                <a:gd name="connsiteX4" fmla="*/ 344521 w 1418616"/>
                <a:gd name="connsiteY4" fmla="*/ 109199 h 267983"/>
                <a:gd name="connsiteX5" fmla="*/ 433691 w 1418616"/>
                <a:gd name="connsiteY5" fmla="*/ 20029 h 267983"/>
                <a:gd name="connsiteX6" fmla="*/ 535021 w 1418616"/>
                <a:gd name="connsiteY6" fmla="*/ 105146 h 267983"/>
                <a:gd name="connsiteX7" fmla="*/ 636351 w 1418616"/>
                <a:gd name="connsiteY7" fmla="*/ 15975 h 267983"/>
                <a:gd name="connsiteX8" fmla="*/ 701202 w 1418616"/>
                <a:gd name="connsiteY8" fmla="*/ 109199 h 267983"/>
                <a:gd name="connsiteX9" fmla="*/ 794425 w 1418616"/>
                <a:gd name="connsiteY9" fmla="*/ 20029 h 267983"/>
                <a:gd name="connsiteX10" fmla="*/ 891702 w 1418616"/>
                <a:gd name="connsiteY10" fmla="*/ 113252 h 267983"/>
                <a:gd name="connsiteX11" fmla="*/ 956553 w 1418616"/>
                <a:gd name="connsiteY11" fmla="*/ 24082 h 267983"/>
                <a:gd name="connsiteX12" fmla="*/ 1070042 w 1418616"/>
                <a:gd name="connsiteY12" fmla="*/ 105146 h 267983"/>
                <a:gd name="connsiteX13" fmla="*/ 1155159 w 1418616"/>
                <a:gd name="connsiteY13" fmla="*/ 24082 h 267983"/>
                <a:gd name="connsiteX14" fmla="*/ 1232170 w 1418616"/>
                <a:gd name="connsiteY14" fmla="*/ 113252 h 267983"/>
                <a:gd name="connsiteX15" fmla="*/ 1317287 w 1418616"/>
                <a:gd name="connsiteY15" fmla="*/ 20029 h 267983"/>
                <a:gd name="connsiteX16" fmla="*/ 1418616 w 1418616"/>
                <a:gd name="connsiteY16" fmla="*/ 130748 h 267983"/>
                <a:gd name="connsiteX0" fmla="*/ 0 w 1418616"/>
                <a:gd name="connsiteY0" fmla="*/ 264488 h 264488"/>
                <a:gd name="connsiteX1" fmla="*/ 28372 w 1418616"/>
                <a:gd name="connsiteY1" fmla="*/ 142917 h 264488"/>
                <a:gd name="connsiteX2" fmla="*/ 52691 w 1418616"/>
                <a:gd name="connsiteY2" fmla="*/ 321 h 264488"/>
                <a:gd name="connsiteX3" fmla="*/ 137808 w 1418616"/>
                <a:gd name="connsiteY3" fmla="*/ 101651 h 264488"/>
                <a:gd name="connsiteX4" fmla="*/ 243191 w 1418616"/>
                <a:gd name="connsiteY4" fmla="*/ 12480 h 264488"/>
                <a:gd name="connsiteX5" fmla="*/ 344521 w 1418616"/>
                <a:gd name="connsiteY5" fmla="*/ 105704 h 264488"/>
                <a:gd name="connsiteX6" fmla="*/ 433691 w 1418616"/>
                <a:gd name="connsiteY6" fmla="*/ 16534 h 264488"/>
                <a:gd name="connsiteX7" fmla="*/ 535021 w 1418616"/>
                <a:gd name="connsiteY7" fmla="*/ 101651 h 264488"/>
                <a:gd name="connsiteX8" fmla="*/ 636351 w 1418616"/>
                <a:gd name="connsiteY8" fmla="*/ 12480 h 264488"/>
                <a:gd name="connsiteX9" fmla="*/ 701202 w 1418616"/>
                <a:gd name="connsiteY9" fmla="*/ 105704 h 264488"/>
                <a:gd name="connsiteX10" fmla="*/ 794425 w 1418616"/>
                <a:gd name="connsiteY10" fmla="*/ 16534 h 264488"/>
                <a:gd name="connsiteX11" fmla="*/ 891702 w 1418616"/>
                <a:gd name="connsiteY11" fmla="*/ 109757 h 264488"/>
                <a:gd name="connsiteX12" fmla="*/ 956553 w 1418616"/>
                <a:gd name="connsiteY12" fmla="*/ 20587 h 264488"/>
                <a:gd name="connsiteX13" fmla="*/ 1070042 w 1418616"/>
                <a:gd name="connsiteY13" fmla="*/ 101651 h 264488"/>
                <a:gd name="connsiteX14" fmla="*/ 1155159 w 1418616"/>
                <a:gd name="connsiteY14" fmla="*/ 20587 h 264488"/>
                <a:gd name="connsiteX15" fmla="*/ 1232170 w 1418616"/>
                <a:gd name="connsiteY15" fmla="*/ 109757 h 264488"/>
                <a:gd name="connsiteX16" fmla="*/ 1317287 w 1418616"/>
                <a:gd name="connsiteY16" fmla="*/ 16534 h 264488"/>
                <a:gd name="connsiteX17" fmla="*/ 1418616 w 1418616"/>
                <a:gd name="connsiteY17" fmla="*/ 127253 h 264488"/>
                <a:gd name="connsiteX0" fmla="*/ 6551 w 1425167"/>
                <a:gd name="connsiteY0" fmla="*/ 264181 h 264181"/>
                <a:gd name="connsiteX1" fmla="*/ 2498 w 1425167"/>
                <a:gd name="connsiteY1" fmla="*/ 109451 h 264181"/>
                <a:gd name="connsiteX2" fmla="*/ 59242 w 1425167"/>
                <a:gd name="connsiteY2" fmla="*/ 14 h 264181"/>
                <a:gd name="connsiteX3" fmla="*/ 144359 w 1425167"/>
                <a:gd name="connsiteY3" fmla="*/ 101344 h 264181"/>
                <a:gd name="connsiteX4" fmla="*/ 249742 w 1425167"/>
                <a:gd name="connsiteY4" fmla="*/ 12173 h 264181"/>
                <a:gd name="connsiteX5" fmla="*/ 351072 w 1425167"/>
                <a:gd name="connsiteY5" fmla="*/ 105397 h 264181"/>
                <a:gd name="connsiteX6" fmla="*/ 440242 w 1425167"/>
                <a:gd name="connsiteY6" fmla="*/ 16227 h 264181"/>
                <a:gd name="connsiteX7" fmla="*/ 541572 w 1425167"/>
                <a:gd name="connsiteY7" fmla="*/ 101344 h 264181"/>
                <a:gd name="connsiteX8" fmla="*/ 642902 w 1425167"/>
                <a:gd name="connsiteY8" fmla="*/ 12173 h 264181"/>
                <a:gd name="connsiteX9" fmla="*/ 707753 w 1425167"/>
                <a:gd name="connsiteY9" fmla="*/ 105397 h 264181"/>
                <a:gd name="connsiteX10" fmla="*/ 800976 w 1425167"/>
                <a:gd name="connsiteY10" fmla="*/ 16227 h 264181"/>
                <a:gd name="connsiteX11" fmla="*/ 898253 w 1425167"/>
                <a:gd name="connsiteY11" fmla="*/ 109450 h 264181"/>
                <a:gd name="connsiteX12" fmla="*/ 963104 w 1425167"/>
                <a:gd name="connsiteY12" fmla="*/ 20280 h 264181"/>
                <a:gd name="connsiteX13" fmla="*/ 1076593 w 1425167"/>
                <a:gd name="connsiteY13" fmla="*/ 101344 h 264181"/>
                <a:gd name="connsiteX14" fmla="*/ 1161710 w 1425167"/>
                <a:gd name="connsiteY14" fmla="*/ 20280 h 264181"/>
                <a:gd name="connsiteX15" fmla="*/ 1238721 w 1425167"/>
                <a:gd name="connsiteY15" fmla="*/ 109450 h 264181"/>
                <a:gd name="connsiteX16" fmla="*/ 1323838 w 1425167"/>
                <a:gd name="connsiteY16" fmla="*/ 16227 h 264181"/>
                <a:gd name="connsiteX17" fmla="*/ 1425167 w 1425167"/>
                <a:gd name="connsiteY17" fmla="*/ 126946 h 264181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408954 w 1408954"/>
                <a:gd name="connsiteY17" fmla="*/ 267869 h 267869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372477 w 1408954"/>
                <a:gd name="connsiteY17" fmla="*/ 184056 h 267869"/>
                <a:gd name="connsiteX18" fmla="*/ 1408954 w 1408954"/>
                <a:gd name="connsiteY18" fmla="*/ 267869 h 267869"/>
                <a:gd name="connsiteX0" fmla="*/ 6551 w 1424741"/>
                <a:gd name="connsiteY0" fmla="*/ 264181 h 267869"/>
                <a:gd name="connsiteX1" fmla="*/ 2498 w 1424741"/>
                <a:gd name="connsiteY1" fmla="*/ 109451 h 267869"/>
                <a:gd name="connsiteX2" fmla="*/ 59242 w 1424741"/>
                <a:gd name="connsiteY2" fmla="*/ 14 h 267869"/>
                <a:gd name="connsiteX3" fmla="*/ 144359 w 1424741"/>
                <a:gd name="connsiteY3" fmla="*/ 101344 h 267869"/>
                <a:gd name="connsiteX4" fmla="*/ 249742 w 1424741"/>
                <a:gd name="connsiteY4" fmla="*/ 12173 h 267869"/>
                <a:gd name="connsiteX5" fmla="*/ 351072 w 1424741"/>
                <a:gd name="connsiteY5" fmla="*/ 105397 h 267869"/>
                <a:gd name="connsiteX6" fmla="*/ 440242 w 1424741"/>
                <a:gd name="connsiteY6" fmla="*/ 16227 h 267869"/>
                <a:gd name="connsiteX7" fmla="*/ 541572 w 1424741"/>
                <a:gd name="connsiteY7" fmla="*/ 101344 h 267869"/>
                <a:gd name="connsiteX8" fmla="*/ 642902 w 1424741"/>
                <a:gd name="connsiteY8" fmla="*/ 12173 h 267869"/>
                <a:gd name="connsiteX9" fmla="*/ 707753 w 1424741"/>
                <a:gd name="connsiteY9" fmla="*/ 105397 h 267869"/>
                <a:gd name="connsiteX10" fmla="*/ 800976 w 1424741"/>
                <a:gd name="connsiteY10" fmla="*/ 16227 h 267869"/>
                <a:gd name="connsiteX11" fmla="*/ 898253 w 1424741"/>
                <a:gd name="connsiteY11" fmla="*/ 109450 h 267869"/>
                <a:gd name="connsiteX12" fmla="*/ 963104 w 1424741"/>
                <a:gd name="connsiteY12" fmla="*/ 20280 h 267869"/>
                <a:gd name="connsiteX13" fmla="*/ 1076593 w 1424741"/>
                <a:gd name="connsiteY13" fmla="*/ 101344 h 267869"/>
                <a:gd name="connsiteX14" fmla="*/ 1161710 w 1424741"/>
                <a:gd name="connsiteY14" fmla="*/ 20280 h 267869"/>
                <a:gd name="connsiteX15" fmla="*/ 1238721 w 1424741"/>
                <a:gd name="connsiteY15" fmla="*/ 109450 h 267869"/>
                <a:gd name="connsiteX16" fmla="*/ 1323838 w 1424741"/>
                <a:gd name="connsiteY16" fmla="*/ 16227 h 267869"/>
                <a:gd name="connsiteX17" fmla="*/ 1421115 w 1424741"/>
                <a:gd name="connsiteY17" fmla="*/ 142608 h 267869"/>
                <a:gd name="connsiteX18" fmla="*/ 1408954 w 1424741"/>
                <a:gd name="connsiteY18" fmla="*/ 267869 h 267869"/>
                <a:gd name="connsiteX0" fmla="*/ 6551 w 1426266"/>
                <a:gd name="connsiteY0" fmla="*/ 264181 h 267869"/>
                <a:gd name="connsiteX1" fmla="*/ 2498 w 1426266"/>
                <a:gd name="connsiteY1" fmla="*/ 109451 h 267869"/>
                <a:gd name="connsiteX2" fmla="*/ 59242 w 1426266"/>
                <a:gd name="connsiteY2" fmla="*/ 14 h 267869"/>
                <a:gd name="connsiteX3" fmla="*/ 144359 w 1426266"/>
                <a:gd name="connsiteY3" fmla="*/ 101344 h 267869"/>
                <a:gd name="connsiteX4" fmla="*/ 249742 w 1426266"/>
                <a:gd name="connsiteY4" fmla="*/ 12173 h 267869"/>
                <a:gd name="connsiteX5" fmla="*/ 351072 w 1426266"/>
                <a:gd name="connsiteY5" fmla="*/ 105397 h 267869"/>
                <a:gd name="connsiteX6" fmla="*/ 440242 w 1426266"/>
                <a:gd name="connsiteY6" fmla="*/ 16227 h 267869"/>
                <a:gd name="connsiteX7" fmla="*/ 541572 w 1426266"/>
                <a:gd name="connsiteY7" fmla="*/ 101344 h 267869"/>
                <a:gd name="connsiteX8" fmla="*/ 642902 w 1426266"/>
                <a:gd name="connsiteY8" fmla="*/ 12173 h 267869"/>
                <a:gd name="connsiteX9" fmla="*/ 707753 w 1426266"/>
                <a:gd name="connsiteY9" fmla="*/ 105397 h 267869"/>
                <a:gd name="connsiteX10" fmla="*/ 800976 w 1426266"/>
                <a:gd name="connsiteY10" fmla="*/ 16227 h 267869"/>
                <a:gd name="connsiteX11" fmla="*/ 898253 w 1426266"/>
                <a:gd name="connsiteY11" fmla="*/ 109450 h 267869"/>
                <a:gd name="connsiteX12" fmla="*/ 963104 w 1426266"/>
                <a:gd name="connsiteY12" fmla="*/ 20280 h 267869"/>
                <a:gd name="connsiteX13" fmla="*/ 1076593 w 1426266"/>
                <a:gd name="connsiteY13" fmla="*/ 101344 h 267869"/>
                <a:gd name="connsiteX14" fmla="*/ 1161710 w 1426266"/>
                <a:gd name="connsiteY14" fmla="*/ 20280 h 267869"/>
                <a:gd name="connsiteX15" fmla="*/ 1238721 w 1426266"/>
                <a:gd name="connsiteY15" fmla="*/ 109450 h 267869"/>
                <a:gd name="connsiteX16" fmla="*/ 1323838 w 1426266"/>
                <a:gd name="connsiteY16" fmla="*/ 16227 h 267869"/>
                <a:gd name="connsiteX17" fmla="*/ 1421115 w 1426266"/>
                <a:gd name="connsiteY17" fmla="*/ 142608 h 267869"/>
                <a:gd name="connsiteX18" fmla="*/ 1421110 w 1426266"/>
                <a:gd name="connsiteY18" fmla="*/ 267869 h 267869"/>
                <a:gd name="connsiteX0" fmla="*/ 6551 w 1421110"/>
                <a:gd name="connsiteY0" fmla="*/ 264181 h 267869"/>
                <a:gd name="connsiteX1" fmla="*/ 2498 w 1421110"/>
                <a:gd name="connsiteY1" fmla="*/ 109451 h 267869"/>
                <a:gd name="connsiteX2" fmla="*/ 59242 w 1421110"/>
                <a:gd name="connsiteY2" fmla="*/ 14 h 267869"/>
                <a:gd name="connsiteX3" fmla="*/ 144359 w 1421110"/>
                <a:gd name="connsiteY3" fmla="*/ 101344 h 267869"/>
                <a:gd name="connsiteX4" fmla="*/ 249742 w 1421110"/>
                <a:gd name="connsiteY4" fmla="*/ 12173 h 267869"/>
                <a:gd name="connsiteX5" fmla="*/ 351072 w 1421110"/>
                <a:gd name="connsiteY5" fmla="*/ 105397 h 267869"/>
                <a:gd name="connsiteX6" fmla="*/ 440242 w 1421110"/>
                <a:gd name="connsiteY6" fmla="*/ 16227 h 267869"/>
                <a:gd name="connsiteX7" fmla="*/ 541572 w 1421110"/>
                <a:gd name="connsiteY7" fmla="*/ 101344 h 267869"/>
                <a:gd name="connsiteX8" fmla="*/ 642902 w 1421110"/>
                <a:gd name="connsiteY8" fmla="*/ 12173 h 267869"/>
                <a:gd name="connsiteX9" fmla="*/ 707753 w 1421110"/>
                <a:gd name="connsiteY9" fmla="*/ 105397 h 267869"/>
                <a:gd name="connsiteX10" fmla="*/ 800976 w 1421110"/>
                <a:gd name="connsiteY10" fmla="*/ 16227 h 267869"/>
                <a:gd name="connsiteX11" fmla="*/ 898253 w 1421110"/>
                <a:gd name="connsiteY11" fmla="*/ 109450 h 267869"/>
                <a:gd name="connsiteX12" fmla="*/ 963104 w 1421110"/>
                <a:gd name="connsiteY12" fmla="*/ 20280 h 267869"/>
                <a:gd name="connsiteX13" fmla="*/ 1076593 w 1421110"/>
                <a:gd name="connsiteY13" fmla="*/ 101344 h 267869"/>
                <a:gd name="connsiteX14" fmla="*/ 1161710 w 1421110"/>
                <a:gd name="connsiteY14" fmla="*/ 20280 h 267869"/>
                <a:gd name="connsiteX15" fmla="*/ 1238721 w 1421110"/>
                <a:gd name="connsiteY15" fmla="*/ 109450 h 267869"/>
                <a:gd name="connsiteX16" fmla="*/ 1323838 w 1421110"/>
                <a:gd name="connsiteY16" fmla="*/ 16227 h 267869"/>
                <a:gd name="connsiteX17" fmla="*/ 1413010 w 1421110"/>
                <a:gd name="connsiteY17" fmla="*/ 150897 h 267869"/>
                <a:gd name="connsiteX18" fmla="*/ 1421110 w 1421110"/>
                <a:gd name="connsiteY18" fmla="*/ 267869 h 267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421110" h="267869">
                  <a:moveTo>
                    <a:pt x="6551" y="264181"/>
                  </a:moveTo>
                  <a:cubicBezTo>
                    <a:pt x="11280" y="243919"/>
                    <a:pt x="-6284" y="153479"/>
                    <a:pt x="2498" y="109451"/>
                  </a:cubicBezTo>
                  <a:cubicBezTo>
                    <a:pt x="11280" y="65423"/>
                    <a:pt x="35599" y="1365"/>
                    <a:pt x="59242" y="14"/>
                  </a:cubicBezTo>
                  <a:cubicBezTo>
                    <a:pt x="82885" y="-1337"/>
                    <a:pt x="112609" y="99318"/>
                    <a:pt x="144359" y="101344"/>
                  </a:cubicBezTo>
                  <a:cubicBezTo>
                    <a:pt x="176109" y="103370"/>
                    <a:pt x="215290" y="11498"/>
                    <a:pt x="249742" y="12173"/>
                  </a:cubicBezTo>
                  <a:cubicBezTo>
                    <a:pt x="284194" y="12848"/>
                    <a:pt x="319322" y="104721"/>
                    <a:pt x="351072" y="105397"/>
                  </a:cubicBezTo>
                  <a:cubicBezTo>
                    <a:pt x="382822" y="106073"/>
                    <a:pt x="408492" y="16902"/>
                    <a:pt x="440242" y="16227"/>
                  </a:cubicBezTo>
                  <a:cubicBezTo>
                    <a:pt x="471992" y="15552"/>
                    <a:pt x="507795" y="102020"/>
                    <a:pt x="541572" y="101344"/>
                  </a:cubicBezTo>
                  <a:cubicBezTo>
                    <a:pt x="575349" y="100668"/>
                    <a:pt x="615205" y="11498"/>
                    <a:pt x="642902" y="12173"/>
                  </a:cubicBezTo>
                  <a:cubicBezTo>
                    <a:pt x="670599" y="12848"/>
                    <a:pt x="681407" y="104721"/>
                    <a:pt x="707753" y="105397"/>
                  </a:cubicBezTo>
                  <a:cubicBezTo>
                    <a:pt x="734099" y="106073"/>
                    <a:pt x="769226" y="15552"/>
                    <a:pt x="800976" y="16227"/>
                  </a:cubicBezTo>
                  <a:cubicBezTo>
                    <a:pt x="832726" y="16902"/>
                    <a:pt x="871232" y="108775"/>
                    <a:pt x="898253" y="109450"/>
                  </a:cubicBezTo>
                  <a:cubicBezTo>
                    <a:pt x="925274" y="110126"/>
                    <a:pt x="933381" y="21631"/>
                    <a:pt x="963104" y="20280"/>
                  </a:cubicBezTo>
                  <a:cubicBezTo>
                    <a:pt x="992827" y="18929"/>
                    <a:pt x="1043492" y="101344"/>
                    <a:pt x="1076593" y="101344"/>
                  </a:cubicBezTo>
                  <a:cubicBezTo>
                    <a:pt x="1109694" y="101344"/>
                    <a:pt x="1134689" y="18929"/>
                    <a:pt x="1161710" y="20280"/>
                  </a:cubicBezTo>
                  <a:cubicBezTo>
                    <a:pt x="1188731" y="21631"/>
                    <a:pt x="1211700" y="110126"/>
                    <a:pt x="1238721" y="109450"/>
                  </a:cubicBezTo>
                  <a:cubicBezTo>
                    <a:pt x="1265742" y="108775"/>
                    <a:pt x="1294790" y="9319"/>
                    <a:pt x="1323838" y="16227"/>
                  </a:cubicBezTo>
                  <a:cubicBezTo>
                    <a:pt x="1352886" y="23135"/>
                    <a:pt x="1398824" y="108957"/>
                    <a:pt x="1413010" y="150897"/>
                  </a:cubicBezTo>
                  <a:cubicBezTo>
                    <a:pt x="1427196" y="192837"/>
                    <a:pt x="1415031" y="253900"/>
                    <a:pt x="1421110" y="267869"/>
                  </a:cubicBez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78" name="Freeform 777">
              <a:extLst>
                <a:ext uri="{FF2B5EF4-FFF2-40B4-BE49-F238E27FC236}">
                  <a16:creationId xmlns:a16="http://schemas.microsoft.com/office/drawing/2014/main" id="{00000000-0008-0000-0300-00000A030000}"/>
                </a:ext>
              </a:extLst>
            </xdr:cNvPr>
            <xdr:cNvSpPr/>
          </xdr:nvSpPr>
          <xdr:spPr>
            <a:xfrm flipV="1">
              <a:off x="3714750" y="4867275"/>
              <a:ext cx="1531585" cy="306276"/>
            </a:xfrm>
            <a:custGeom>
              <a:avLst/>
              <a:gdLst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748299 w 1901927"/>
                <a:gd name="connsiteY4" fmla="*/ 193573 h 316476"/>
                <a:gd name="connsiteX5" fmla="*/ 1898855 w 1901927"/>
                <a:gd name="connsiteY5" fmla="*/ 193573 h 316476"/>
                <a:gd name="connsiteX6" fmla="*/ 1898855 w 1901927"/>
                <a:gd name="connsiteY6" fmla="*/ 316476 h 316476"/>
                <a:gd name="connsiteX7" fmla="*/ 1901927 w 1901927"/>
                <a:gd name="connsiteY7" fmla="*/ 310331 h 316476"/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898855 w 1901927"/>
                <a:gd name="connsiteY4" fmla="*/ 193573 h 316476"/>
                <a:gd name="connsiteX5" fmla="*/ 1898855 w 1901927"/>
                <a:gd name="connsiteY5" fmla="*/ 316476 h 316476"/>
                <a:gd name="connsiteX6" fmla="*/ 1901927 w 1901927"/>
                <a:gd name="connsiteY6" fmla="*/ 310331 h 3164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901927" h="316476">
                  <a:moveTo>
                    <a:pt x="0" y="310331"/>
                  </a:moveTo>
                  <a:lnTo>
                    <a:pt x="0" y="193573"/>
                  </a:lnTo>
                  <a:lnTo>
                    <a:pt x="344129" y="0"/>
                  </a:lnTo>
                  <a:lnTo>
                    <a:pt x="1554726" y="0"/>
                  </a:lnTo>
                  <a:lnTo>
                    <a:pt x="1898855" y="193573"/>
                  </a:lnTo>
                  <a:lnTo>
                    <a:pt x="1898855" y="316476"/>
                  </a:lnTo>
                  <a:lnTo>
                    <a:pt x="1901927" y="310331"/>
                  </a:ln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35</xdr:col>
      <xdr:colOff>116032</xdr:colOff>
      <xdr:row>142</xdr:row>
      <xdr:rowOff>3290</xdr:rowOff>
    </xdr:from>
    <xdr:to>
      <xdr:col>39</xdr:col>
      <xdr:colOff>154132</xdr:colOff>
      <xdr:row>144</xdr:row>
      <xdr:rowOff>121831</xdr:rowOff>
    </xdr:to>
    <xdr:grpSp>
      <xdr:nvGrpSpPr>
        <xdr:cNvPr id="779" name="cooling pond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GrpSpPr/>
      </xdr:nvGrpSpPr>
      <xdr:grpSpPr>
        <a:xfrm>
          <a:off x="9907732" y="23491940"/>
          <a:ext cx="990600" cy="442391"/>
          <a:chOff x="7290242" y="5191604"/>
          <a:chExt cx="1558305" cy="293589"/>
        </a:xfrm>
      </xdr:grpSpPr>
      <xdr:cxnSp macro="">
        <xdr:nvCxnSpPr>
          <xdr:cNvPr id="780" name="Straight Arrow Connector 779">
            <a:extLst>
              <a:ext uri="{FF2B5EF4-FFF2-40B4-BE49-F238E27FC236}">
                <a16:creationId xmlns:a16="http://schemas.microsoft.com/office/drawing/2014/main" id="{00000000-0008-0000-0300-00000C030000}"/>
              </a:ext>
            </a:extLst>
          </xdr:cNvPr>
          <xdr:cNvCxnSpPr/>
        </xdr:nvCxnSpPr>
        <xdr:spPr>
          <a:xfrm flipH="1" flipV="1">
            <a:off x="8659991" y="5238894"/>
            <a:ext cx="188556" cy="164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781" name="Group 780">
            <a:extLst>
              <a:ext uri="{FF2B5EF4-FFF2-40B4-BE49-F238E27FC236}">
                <a16:creationId xmlns:a16="http://schemas.microsoft.com/office/drawing/2014/main" id="{00000000-0008-0000-0300-00000D030000}"/>
              </a:ext>
            </a:extLst>
          </xdr:cNvPr>
          <xdr:cNvGrpSpPr/>
        </xdr:nvGrpSpPr>
        <xdr:grpSpPr>
          <a:xfrm>
            <a:off x="7290242" y="5191604"/>
            <a:ext cx="1423151" cy="293589"/>
            <a:chOff x="3609975" y="4810125"/>
            <a:chExt cx="1764000" cy="363426"/>
          </a:xfrm>
        </xdr:grpSpPr>
        <xdr:cxnSp macro="">
          <xdr:nvCxnSpPr>
            <xdr:cNvPr id="782" name="Straight Connector 781">
              <a:extLst>
                <a:ext uri="{FF2B5EF4-FFF2-40B4-BE49-F238E27FC236}">
                  <a16:creationId xmlns:a16="http://schemas.microsoft.com/office/drawing/2014/main" id="{00000000-0008-0000-0300-00000E030000}"/>
                </a:ext>
              </a:extLst>
            </xdr:cNvPr>
            <xdr:cNvCxnSpPr/>
          </xdr:nvCxnSpPr>
          <xdr:spPr>
            <a:xfrm>
              <a:off x="3609975" y="4867275"/>
              <a:ext cx="1764000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83" name="Freeform 782">
              <a:extLst>
                <a:ext uri="{FF2B5EF4-FFF2-40B4-BE49-F238E27FC236}">
                  <a16:creationId xmlns:a16="http://schemas.microsoft.com/office/drawing/2014/main" id="{00000000-0008-0000-0300-00000F030000}"/>
                </a:ext>
              </a:extLst>
            </xdr:cNvPr>
            <xdr:cNvSpPr/>
          </xdr:nvSpPr>
          <xdr:spPr>
            <a:xfrm>
              <a:off x="3733800" y="4810125"/>
              <a:ext cx="1512000" cy="104776"/>
            </a:xfrm>
            <a:custGeom>
              <a:avLst/>
              <a:gdLst>
                <a:gd name="connsiteX0" fmla="*/ 0 w 1410510"/>
                <a:gd name="connsiteY0" fmla="*/ 50247 h 111048"/>
                <a:gd name="connsiteX1" fmla="*/ 52691 w 1410510"/>
                <a:gd name="connsiteY1" fmla="*/ 1609 h 111048"/>
                <a:gd name="connsiteX2" fmla="*/ 137808 w 1410510"/>
                <a:gd name="connsiteY2" fmla="*/ 102939 h 111048"/>
                <a:gd name="connsiteX3" fmla="*/ 243191 w 1410510"/>
                <a:gd name="connsiteY3" fmla="*/ 13768 h 111048"/>
                <a:gd name="connsiteX4" fmla="*/ 344521 w 1410510"/>
                <a:gd name="connsiteY4" fmla="*/ 106992 h 111048"/>
                <a:gd name="connsiteX5" fmla="*/ 433691 w 1410510"/>
                <a:gd name="connsiteY5" fmla="*/ 17822 h 111048"/>
                <a:gd name="connsiteX6" fmla="*/ 535021 w 1410510"/>
                <a:gd name="connsiteY6" fmla="*/ 102939 h 111048"/>
                <a:gd name="connsiteX7" fmla="*/ 636351 w 1410510"/>
                <a:gd name="connsiteY7" fmla="*/ 13768 h 111048"/>
                <a:gd name="connsiteX8" fmla="*/ 701202 w 1410510"/>
                <a:gd name="connsiteY8" fmla="*/ 106992 h 111048"/>
                <a:gd name="connsiteX9" fmla="*/ 794425 w 1410510"/>
                <a:gd name="connsiteY9" fmla="*/ 17822 h 111048"/>
                <a:gd name="connsiteX10" fmla="*/ 891702 w 1410510"/>
                <a:gd name="connsiteY10" fmla="*/ 111045 h 111048"/>
                <a:gd name="connsiteX11" fmla="*/ 956553 w 1410510"/>
                <a:gd name="connsiteY11" fmla="*/ 21875 h 111048"/>
                <a:gd name="connsiteX12" fmla="*/ 1070042 w 1410510"/>
                <a:gd name="connsiteY12" fmla="*/ 102939 h 111048"/>
                <a:gd name="connsiteX13" fmla="*/ 1155159 w 1410510"/>
                <a:gd name="connsiteY13" fmla="*/ 21875 h 111048"/>
                <a:gd name="connsiteX14" fmla="*/ 1232170 w 1410510"/>
                <a:gd name="connsiteY14" fmla="*/ 111045 h 111048"/>
                <a:gd name="connsiteX15" fmla="*/ 1317287 w 1410510"/>
                <a:gd name="connsiteY15" fmla="*/ 17822 h 111048"/>
                <a:gd name="connsiteX16" fmla="*/ 1410510 w 1410510"/>
                <a:gd name="connsiteY16" fmla="*/ 70513 h 111048"/>
                <a:gd name="connsiteX0" fmla="*/ 0 w 1418616"/>
                <a:gd name="connsiteY0" fmla="*/ 50247 h 128541"/>
                <a:gd name="connsiteX1" fmla="*/ 52691 w 1418616"/>
                <a:gd name="connsiteY1" fmla="*/ 1609 h 128541"/>
                <a:gd name="connsiteX2" fmla="*/ 137808 w 1418616"/>
                <a:gd name="connsiteY2" fmla="*/ 102939 h 128541"/>
                <a:gd name="connsiteX3" fmla="*/ 243191 w 1418616"/>
                <a:gd name="connsiteY3" fmla="*/ 13768 h 128541"/>
                <a:gd name="connsiteX4" fmla="*/ 344521 w 1418616"/>
                <a:gd name="connsiteY4" fmla="*/ 106992 h 128541"/>
                <a:gd name="connsiteX5" fmla="*/ 433691 w 1418616"/>
                <a:gd name="connsiteY5" fmla="*/ 17822 h 128541"/>
                <a:gd name="connsiteX6" fmla="*/ 535021 w 1418616"/>
                <a:gd name="connsiteY6" fmla="*/ 102939 h 128541"/>
                <a:gd name="connsiteX7" fmla="*/ 636351 w 1418616"/>
                <a:gd name="connsiteY7" fmla="*/ 13768 h 128541"/>
                <a:gd name="connsiteX8" fmla="*/ 701202 w 1418616"/>
                <a:gd name="connsiteY8" fmla="*/ 106992 h 128541"/>
                <a:gd name="connsiteX9" fmla="*/ 794425 w 1418616"/>
                <a:gd name="connsiteY9" fmla="*/ 17822 h 128541"/>
                <a:gd name="connsiteX10" fmla="*/ 891702 w 1418616"/>
                <a:gd name="connsiteY10" fmla="*/ 111045 h 128541"/>
                <a:gd name="connsiteX11" fmla="*/ 956553 w 1418616"/>
                <a:gd name="connsiteY11" fmla="*/ 21875 h 128541"/>
                <a:gd name="connsiteX12" fmla="*/ 1070042 w 1418616"/>
                <a:gd name="connsiteY12" fmla="*/ 102939 h 128541"/>
                <a:gd name="connsiteX13" fmla="*/ 1155159 w 1418616"/>
                <a:gd name="connsiteY13" fmla="*/ 21875 h 128541"/>
                <a:gd name="connsiteX14" fmla="*/ 1232170 w 1418616"/>
                <a:gd name="connsiteY14" fmla="*/ 111045 h 128541"/>
                <a:gd name="connsiteX15" fmla="*/ 1317287 w 1418616"/>
                <a:gd name="connsiteY15" fmla="*/ 17822 h 128541"/>
                <a:gd name="connsiteX16" fmla="*/ 1418616 w 1418616"/>
                <a:gd name="connsiteY16" fmla="*/ 128541 h 128541"/>
                <a:gd name="connsiteX0" fmla="*/ 0 w 1418616"/>
                <a:gd name="connsiteY0" fmla="*/ 267983 h 267983"/>
                <a:gd name="connsiteX1" fmla="*/ 52691 w 1418616"/>
                <a:gd name="connsiteY1" fmla="*/ 3816 h 267983"/>
                <a:gd name="connsiteX2" fmla="*/ 137808 w 1418616"/>
                <a:gd name="connsiteY2" fmla="*/ 105146 h 267983"/>
                <a:gd name="connsiteX3" fmla="*/ 243191 w 1418616"/>
                <a:gd name="connsiteY3" fmla="*/ 15975 h 267983"/>
                <a:gd name="connsiteX4" fmla="*/ 344521 w 1418616"/>
                <a:gd name="connsiteY4" fmla="*/ 109199 h 267983"/>
                <a:gd name="connsiteX5" fmla="*/ 433691 w 1418616"/>
                <a:gd name="connsiteY5" fmla="*/ 20029 h 267983"/>
                <a:gd name="connsiteX6" fmla="*/ 535021 w 1418616"/>
                <a:gd name="connsiteY6" fmla="*/ 105146 h 267983"/>
                <a:gd name="connsiteX7" fmla="*/ 636351 w 1418616"/>
                <a:gd name="connsiteY7" fmla="*/ 15975 h 267983"/>
                <a:gd name="connsiteX8" fmla="*/ 701202 w 1418616"/>
                <a:gd name="connsiteY8" fmla="*/ 109199 h 267983"/>
                <a:gd name="connsiteX9" fmla="*/ 794425 w 1418616"/>
                <a:gd name="connsiteY9" fmla="*/ 20029 h 267983"/>
                <a:gd name="connsiteX10" fmla="*/ 891702 w 1418616"/>
                <a:gd name="connsiteY10" fmla="*/ 113252 h 267983"/>
                <a:gd name="connsiteX11" fmla="*/ 956553 w 1418616"/>
                <a:gd name="connsiteY11" fmla="*/ 24082 h 267983"/>
                <a:gd name="connsiteX12" fmla="*/ 1070042 w 1418616"/>
                <a:gd name="connsiteY12" fmla="*/ 105146 h 267983"/>
                <a:gd name="connsiteX13" fmla="*/ 1155159 w 1418616"/>
                <a:gd name="connsiteY13" fmla="*/ 24082 h 267983"/>
                <a:gd name="connsiteX14" fmla="*/ 1232170 w 1418616"/>
                <a:gd name="connsiteY14" fmla="*/ 113252 h 267983"/>
                <a:gd name="connsiteX15" fmla="*/ 1317287 w 1418616"/>
                <a:gd name="connsiteY15" fmla="*/ 20029 h 267983"/>
                <a:gd name="connsiteX16" fmla="*/ 1418616 w 1418616"/>
                <a:gd name="connsiteY16" fmla="*/ 130748 h 267983"/>
                <a:gd name="connsiteX0" fmla="*/ 0 w 1418616"/>
                <a:gd name="connsiteY0" fmla="*/ 264488 h 264488"/>
                <a:gd name="connsiteX1" fmla="*/ 28372 w 1418616"/>
                <a:gd name="connsiteY1" fmla="*/ 142917 h 264488"/>
                <a:gd name="connsiteX2" fmla="*/ 52691 w 1418616"/>
                <a:gd name="connsiteY2" fmla="*/ 321 h 264488"/>
                <a:gd name="connsiteX3" fmla="*/ 137808 w 1418616"/>
                <a:gd name="connsiteY3" fmla="*/ 101651 h 264488"/>
                <a:gd name="connsiteX4" fmla="*/ 243191 w 1418616"/>
                <a:gd name="connsiteY4" fmla="*/ 12480 h 264488"/>
                <a:gd name="connsiteX5" fmla="*/ 344521 w 1418616"/>
                <a:gd name="connsiteY5" fmla="*/ 105704 h 264488"/>
                <a:gd name="connsiteX6" fmla="*/ 433691 w 1418616"/>
                <a:gd name="connsiteY6" fmla="*/ 16534 h 264488"/>
                <a:gd name="connsiteX7" fmla="*/ 535021 w 1418616"/>
                <a:gd name="connsiteY7" fmla="*/ 101651 h 264488"/>
                <a:gd name="connsiteX8" fmla="*/ 636351 w 1418616"/>
                <a:gd name="connsiteY8" fmla="*/ 12480 h 264488"/>
                <a:gd name="connsiteX9" fmla="*/ 701202 w 1418616"/>
                <a:gd name="connsiteY9" fmla="*/ 105704 h 264488"/>
                <a:gd name="connsiteX10" fmla="*/ 794425 w 1418616"/>
                <a:gd name="connsiteY10" fmla="*/ 16534 h 264488"/>
                <a:gd name="connsiteX11" fmla="*/ 891702 w 1418616"/>
                <a:gd name="connsiteY11" fmla="*/ 109757 h 264488"/>
                <a:gd name="connsiteX12" fmla="*/ 956553 w 1418616"/>
                <a:gd name="connsiteY12" fmla="*/ 20587 h 264488"/>
                <a:gd name="connsiteX13" fmla="*/ 1070042 w 1418616"/>
                <a:gd name="connsiteY13" fmla="*/ 101651 h 264488"/>
                <a:gd name="connsiteX14" fmla="*/ 1155159 w 1418616"/>
                <a:gd name="connsiteY14" fmla="*/ 20587 h 264488"/>
                <a:gd name="connsiteX15" fmla="*/ 1232170 w 1418616"/>
                <a:gd name="connsiteY15" fmla="*/ 109757 h 264488"/>
                <a:gd name="connsiteX16" fmla="*/ 1317287 w 1418616"/>
                <a:gd name="connsiteY16" fmla="*/ 16534 h 264488"/>
                <a:gd name="connsiteX17" fmla="*/ 1418616 w 1418616"/>
                <a:gd name="connsiteY17" fmla="*/ 127253 h 264488"/>
                <a:gd name="connsiteX0" fmla="*/ 6551 w 1425167"/>
                <a:gd name="connsiteY0" fmla="*/ 264181 h 264181"/>
                <a:gd name="connsiteX1" fmla="*/ 2498 w 1425167"/>
                <a:gd name="connsiteY1" fmla="*/ 109451 h 264181"/>
                <a:gd name="connsiteX2" fmla="*/ 59242 w 1425167"/>
                <a:gd name="connsiteY2" fmla="*/ 14 h 264181"/>
                <a:gd name="connsiteX3" fmla="*/ 144359 w 1425167"/>
                <a:gd name="connsiteY3" fmla="*/ 101344 h 264181"/>
                <a:gd name="connsiteX4" fmla="*/ 249742 w 1425167"/>
                <a:gd name="connsiteY4" fmla="*/ 12173 h 264181"/>
                <a:gd name="connsiteX5" fmla="*/ 351072 w 1425167"/>
                <a:gd name="connsiteY5" fmla="*/ 105397 h 264181"/>
                <a:gd name="connsiteX6" fmla="*/ 440242 w 1425167"/>
                <a:gd name="connsiteY6" fmla="*/ 16227 h 264181"/>
                <a:gd name="connsiteX7" fmla="*/ 541572 w 1425167"/>
                <a:gd name="connsiteY7" fmla="*/ 101344 h 264181"/>
                <a:gd name="connsiteX8" fmla="*/ 642902 w 1425167"/>
                <a:gd name="connsiteY8" fmla="*/ 12173 h 264181"/>
                <a:gd name="connsiteX9" fmla="*/ 707753 w 1425167"/>
                <a:gd name="connsiteY9" fmla="*/ 105397 h 264181"/>
                <a:gd name="connsiteX10" fmla="*/ 800976 w 1425167"/>
                <a:gd name="connsiteY10" fmla="*/ 16227 h 264181"/>
                <a:gd name="connsiteX11" fmla="*/ 898253 w 1425167"/>
                <a:gd name="connsiteY11" fmla="*/ 109450 h 264181"/>
                <a:gd name="connsiteX12" fmla="*/ 963104 w 1425167"/>
                <a:gd name="connsiteY12" fmla="*/ 20280 h 264181"/>
                <a:gd name="connsiteX13" fmla="*/ 1076593 w 1425167"/>
                <a:gd name="connsiteY13" fmla="*/ 101344 h 264181"/>
                <a:gd name="connsiteX14" fmla="*/ 1161710 w 1425167"/>
                <a:gd name="connsiteY14" fmla="*/ 20280 h 264181"/>
                <a:gd name="connsiteX15" fmla="*/ 1238721 w 1425167"/>
                <a:gd name="connsiteY15" fmla="*/ 109450 h 264181"/>
                <a:gd name="connsiteX16" fmla="*/ 1323838 w 1425167"/>
                <a:gd name="connsiteY16" fmla="*/ 16227 h 264181"/>
                <a:gd name="connsiteX17" fmla="*/ 1425167 w 1425167"/>
                <a:gd name="connsiteY17" fmla="*/ 126946 h 264181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408954 w 1408954"/>
                <a:gd name="connsiteY17" fmla="*/ 267869 h 267869"/>
                <a:gd name="connsiteX0" fmla="*/ 6551 w 1408954"/>
                <a:gd name="connsiteY0" fmla="*/ 264181 h 267869"/>
                <a:gd name="connsiteX1" fmla="*/ 2498 w 1408954"/>
                <a:gd name="connsiteY1" fmla="*/ 109451 h 267869"/>
                <a:gd name="connsiteX2" fmla="*/ 59242 w 1408954"/>
                <a:gd name="connsiteY2" fmla="*/ 14 h 267869"/>
                <a:gd name="connsiteX3" fmla="*/ 144359 w 1408954"/>
                <a:gd name="connsiteY3" fmla="*/ 101344 h 267869"/>
                <a:gd name="connsiteX4" fmla="*/ 249742 w 1408954"/>
                <a:gd name="connsiteY4" fmla="*/ 12173 h 267869"/>
                <a:gd name="connsiteX5" fmla="*/ 351072 w 1408954"/>
                <a:gd name="connsiteY5" fmla="*/ 105397 h 267869"/>
                <a:gd name="connsiteX6" fmla="*/ 440242 w 1408954"/>
                <a:gd name="connsiteY6" fmla="*/ 16227 h 267869"/>
                <a:gd name="connsiteX7" fmla="*/ 541572 w 1408954"/>
                <a:gd name="connsiteY7" fmla="*/ 101344 h 267869"/>
                <a:gd name="connsiteX8" fmla="*/ 642902 w 1408954"/>
                <a:gd name="connsiteY8" fmla="*/ 12173 h 267869"/>
                <a:gd name="connsiteX9" fmla="*/ 707753 w 1408954"/>
                <a:gd name="connsiteY9" fmla="*/ 105397 h 267869"/>
                <a:gd name="connsiteX10" fmla="*/ 800976 w 1408954"/>
                <a:gd name="connsiteY10" fmla="*/ 16227 h 267869"/>
                <a:gd name="connsiteX11" fmla="*/ 898253 w 1408954"/>
                <a:gd name="connsiteY11" fmla="*/ 109450 h 267869"/>
                <a:gd name="connsiteX12" fmla="*/ 963104 w 1408954"/>
                <a:gd name="connsiteY12" fmla="*/ 20280 h 267869"/>
                <a:gd name="connsiteX13" fmla="*/ 1076593 w 1408954"/>
                <a:gd name="connsiteY13" fmla="*/ 101344 h 267869"/>
                <a:gd name="connsiteX14" fmla="*/ 1161710 w 1408954"/>
                <a:gd name="connsiteY14" fmla="*/ 20280 h 267869"/>
                <a:gd name="connsiteX15" fmla="*/ 1238721 w 1408954"/>
                <a:gd name="connsiteY15" fmla="*/ 109450 h 267869"/>
                <a:gd name="connsiteX16" fmla="*/ 1323838 w 1408954"/>
                <a:gd name="connsiteY16" fmla="*/ 16227 h 267869"/>
                <a:gd name="connsiteX17" fmla="*/ 1372477 w 1408954"/>
                <a:gd name="connsiteY17" fmla="*/ 184056 h 267869"/>
                <a:gd name="connsiteX18" fmla="*/ 1408954 w 1408954"/>
                <a:gd name="connsiteY18" fmla="*/ 267869 h 267869"/>
                <a:gd name="connsiteX0" fmla="*/ 6551 w 1424741"/>
                <a:gd name="connsiteY0" fmla="*/ 264181 h 267869"/>
                <a:gd name="connsiteX1" fmla="*/ 2498 w 1424741"/>
                <a:gd name="connsiteY1" fmla="*/ 109451 h 267869"/>
                <a:gd name="connsiteX2" fmla="*/ 59242 w 1424741"/>
                <a:gd name="connsiteY2" fmla="*/ 14 h 267869"/>
                <a:gd name="connsiteX3" fmla="*/ 144359 w 1424741"/>
                <a:gd name="connsiteY3" fmla="*/ 101344 h 267869"/>
                <a:gd name="connsiteX4" fmla="*/ 249742 w 1424741"/>
                <a:gd name="connsiteY4" fmla="*/ 12173 h 267869"/>
                <a:gd name="connsiteX5" fmla="*/ 351072 w 1424741"/>
                <a:gd name="connsiteY5" fmla="*/ 105397 h 267869"/>
                <a:gd name="connsiteX6" fmla="*/ 440242 w 1424741"/>
                <a:gd name="connsiteY6" fmla="*/ 16227 h 267869"/>
                <a:gd name="connsiteX7" fmla="*/ 541572 w 1424741"/>
                <a:gd name="connsiteY7" fmla="*/ 101344 h 267869"/>
                <a:gd name="connsiteX8" fmla="*/ 642902 w 1424741"/>
                <a:gd name="connsiteY8" fmla="*/ 12173 h 267869"/>
                <a:gd name="connsiteX9" fmla="*/ 707753 w 1424741"/>
                <a:gd name="connsiteY9" fmla="*/ 105397 h 267869"/>
                <a:gd name="connsiteX10" fmla="*/ 800976 w 1424741"/>
                <a:gd name="connsiteY10" fmla="*/ 16227 h 267869"/>
                <a:gd name="connsiteX11" fmla="*/ 898253 w 1424741"/>
                <a:gd name="connsiteY11" fmla="*/ 109450 h 267869"/>
                <a:gd name="connsiteX12" fmla="*/ 963104 w 1424741"/>
                <a:gd name="connsiteY12" fmla="*/ 20280 h 267869"/>
                <a:gd name="connsiteX13" fmla="*/ 1076593 w 1424741"/>
                <a:gd name="connsiteY13" fmla="*/ 101344 h 267869"/>
                <a:gd name="connsiteX14" fmla="*/ 1161710 w 1424741"/>
                <a:gd name="connsiteY14" fmla="*/ 20280 h 267869"/>
                <a:gd name="connsiteX15" fmla="*/ 1238721 w 1424741"/>
                <a:gd name="connsiteY15" fmla="*/ 109450 h 267869"/>
                <a:gd name="connsiteX16" fmla="*/ 1323838 w 1424741"/>
                <a:gd name="connsiteY16" fmla="*/ 16227 h 267869"/>
                <a:gd name="connsiteX17" fmla="*/ 1421115 w 1424741"/>
                <a:gd name="connsiteY17" fmla="*/ 142608 h 267869"/>
                <a:gd name="connsiteX18" fmla="*/ 1408954 w 1424741"/>
                <a:gd name="connsiteY18" fmla="*/ 267869 h 267869"/>
                <a:gd name="connsiteX0" fmla="*/ 6551 w 1426266"/>
                <a:gd name="connsiteY0" fmla="*/ 264181 h 267869"/>
                <a:gd name="connsiteX1" fmla="*/ 2498 w 1426266"/>
                <a:gd name="connsiteY1" fmla="*/ 109451 h 267869"/>
                <a:gd name="connsiteX2" fmla="*/ 59242 w 1426266"/>
                <a:gd name="connsiteY2" fmla="*/ 14 h 267869"/>
                <a:gd name="connsiteX3" fmla="*/ 144359 w 1426266"/>
                <a:gd name="connsiteY3" fmla="*/ 101344 h 267869"/>
                <a:gd name="connsiteX4" fmla="*/ 249742 w 1426266"/>
                <a:gd name="connsiteY4" fmla="*/ 12173 h 267869"/>
                <a:gd name="connsiteX5" fmla="*/ 351072 w 1426266"/>
                <a:gd name="connsiteY5" fmla="*/ 105397 h 267869"/>
                <a:gd name="connsiteX6" fmla="*/ 440242 w 1426266"/>
                <a:gd name="connsiteY6" fmla="*/ 16227 h 267869"/>
                <a:gd name="connsiteX7" fmla="*/ 541572 w 1426266"/>
                <a:gd name="connsiteY7" fmla="*/ 101344 h 267869"/>
                <a:gd name="connsiteX8" fmla="*/ 642902 w 1426266"/>
                <a:gd name="connsiteY8" fmla="*/ 12173 h 267869"/>
                <a:gd name="connsiteX9" fmla="*/ 707753 w 1426266"/>
                <a:gd name="connsiteY9" fmla="*/ 105397 h 267869"/>
                <a:gd name="connsiteX10" fmla="*/ 800976 w 1426266"/>
                <a:gd name="connsiteY10" fmla="*/ 16227 h 267869"/>
                <a:gd name="connsiteX11" fmla="*/ 898253 w 1426266"/>
                <a:gd name="connsiteY11" fmla="*/ 109450 h 267869"/>
                <a:gd name="connsiteX12" fmla="*/ 963104 w 1426266"/>
                <a:gd name="connsiteY12" fmla="*/ 20280 h 267869"/>
                <a:gd name="connsiteX13" fmla="*/ 1076593 w 1426266"/>
                <a:gd name="connsiteY13" fmla="*/ 101344 h 267869"/>
                <a:gd name="connsiteX14" fmla="*/ 1161710 w 1426266"/>
                <a:gd name="connsiteY14" fmla="*/ 20280 h 267869"/>
                <a:gd name="connsiteX15" fmla="*/ 1238721 w 1426266"/>
                <a:gd name="connsiteY15" fmla="*/ 109450 h 267869"/>
                <a:gd name="connsiteX16" fmla="*/ 1323838 w 1426266"/>
                <a:gd name="connsiteY16" fmla="*/ 16227 h 267869"/>
                <a:gd name="connsiteX17" fmla="*/ 1421115 w 1426266"/>
                <a:gd name="connsiteY17" fmla="*/ 142608 h 267869"/>
                <a:gd name="connsiteX18" fmla="*/ 1421110 w 1426266"/>
                <a:gd name="connsiteY18" fmla="*/ 267869 h 267869"/>
                <a:gd name="connsiteX0" fmla="*/ 6551 w 1421110"/>
                <a:gd name="connsiteY0" fmla="*/ 264181 h 267869"/>
                <a:gd name="connsiteX1" fmla="*/ 2498 w 1421110"/>
                <a:gd name="connsiteY1" fmla="*/ 109451 h 267869"/>
                <a:gd name="connsiteX2" fmla="*/ 59242 w 1421110"/>
                <a:gd name="connsiteY2" fmla="*/ 14 h 267869"/>
                <a:gd name="connsiteX3" fmla="*/ 144359 w 1421110"/>
                <a:gd name="connsiteY3" fmla="*/ 101344 h 267869"/>
                <a:gd name="connsiteX4" fmla="*/ 249742 w 1421110"/>
                <a:gd name="connsiteY4" fmla="*/ 12173 h 267869"/>
                <a:gd name="connsiteX5" fmla="*/ 351072 w 1421110"/>
                <a:gd name="connsiteY5" fmla="*/ 105397 h 267869"/>
                <a:gd name="connsiteX6" fmla="*/ 440242 w 1421110"/>
                <a:gd name="connsiteY6" fmla="*/ 16227 h 267869"/>
                <a:gd name="connsiteX7" fmla="*/ 541572 w 1421110"/>
                <a:gd name="connsiteY7" fmla="*/ 101344 h 267869"/>
                <a:gd name="connsiteX8" fmla="*/ 642902 w 1421110"/>
                <a:gd name="connsiteY8" fmla="*/ 12173 h 267869"/>
                <a:gd name="connsiteX9" fmla="*/ 707753 w 1421110"/>
                <a:gd name="connsiteY9" fmla="*/ 105397 h 267869"/>
                <a:gd name="connsiteX10" fmla="*/ 800976 w 1421110"/>
                <a:gd name="connsiteY10" fmla="*/ 16227 h 267869"/>
                <a:gd name="connsiteX11" fmla="*/ 898253 w 1421110"/>
                <a:gd name="connsiteY11" fmla="*/ 109450 h 267869"/>
                <a:gd name="connsiteX12" fmla="*/ 963104 w 1421110"/>
                <a:gd name="connsiteY12" fmla="*/ 20280 h 267869"/>
                <a:gd name="connsiteX13" fmla="*/ 1076593 w 1421110"/>
                <a:gd name="connsiteY13" fmla="*/ 101344 h 267869"/>
                <a:gd name="connsiteX14" fmla="*/ 1161710 w 1421110"/>
                <a:gd name="connsiteY14" fmla="*/ 20280 h 267869"/>
                <a:gd name="connsiteX15" fmla="*/ 1238721 w 1421110"/>
                <a:gd name="connsiteY15" fmla="*/ 109450 h 267869"/>
                <a:gd name="connsiteX16" fmla="*/ 1323838 w 1421110"/>
                <a:gd name="connsiteY16" fmla="*/ 16227 h 267869"/>
                <a:gd name="connsiteX17" fmla="*/ 1413010 w 1421110"/>
                <a:gd name="connsiteY17" fmla="*/ 150897 h 267869"/>
                <a:gd name="connsiteX18" fmla="*/ 1421110 w 1421110"/>
                <a:gd name="connsiteY18" fmla="*/ 267869 h 267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421110" h="267869">
                  <a:moveTo>
                    <a:pt x="6551" y="264181"/>
                  </a:moveTo>
                  <a:cubicBezTo>
                    <a:pt x="11280" y="243919"/>
                    <a:pt x="-6284" y="153479"/>
                    <a:pt x="2498" y="109451"/>
                  </a:cubicBezTo>
                  <a:cubicBezTo>
                    <a:pt x="11280" y="65423"/>
                    <a:pt x="35599" y="1365"/>
                    <a:pt x="59242" y="14"/>
                  </a:cubicBezTo>
                  <a:cubicBezTo>
                    <a:pt x="82885" y="-1337"/>
                    <a:pt x="112609" y="99318"/>
                    <a:pt x="144359" y="101344"/>
                  </a:cubicBezTo>
                  <a:cubicBezTo>
                    <a:pt x="176109" y="103370"/>
                    <a:pt x="215290" y="11498"/>
                    <a:pt x="249742" y="12173"/>
                  </a:cubicBezTo>
                  <a:cubicBezTo>
                    <a:pt x="284194" y="12848"/>
                    <a:pt x="319322" y="104721"/>
                    <a:pt x="351072" y="105397"/>
                  </a:cubicBezTo>
                  <a:cubicBezTo>
                    <a:pt x="382822" y="106073"/>
                    <a:pt x="408492" y="16902"/>
                    <a:pt x="440242" y="16227"/>
                  </a:cubicBezTo>
                  <a:cubicBezTo>
                    <a:pt x="471992" y="15552"/>
                    <a:pt x="507795" y="102020"/>
                    <a:pt x="541572" y="101344"/>
                  </a:cubicBezTo>
                  <a:cubicBezTo>
                    <a:pt x="575349" y="100668"/>
                    <a:pt x="615205" y="11498"/>
                    <a:pt x="642902" y="12173"/>
                  </a:cubicBezTo>
                  <a:cubicBezTo>
                    <a:pt x="670599" y="12848"/>
                    <a:pt x="681407" y="104721"/>
                    <a:pt x="707753" y="105397"/>
                  </a:cubicBezTo>
                  <a:cubicBezTo>
                    <a:pt x="734099" y="106073"/>
                    <a:pt x="769226" y="15552"/>
                    <a:pt x="800976" y="16227"/>
                  </a:cubicBezTo>
                  <a:cubicBezTo>
                    <a:pt x="832726" y="16902"/>
                    <a:pt x="871232" y="108775"/>
                    <a:pt x="898253" y="109450"/>
                  </a:cubicBezTo>
                  <a:cubicBezTo>
                    <a:pt x="925274" y="110126"/>
                    <a:pt x="933381" y="21631"/>
                    <a:pt x="963104" y="20280"/>
                  </a:cubicBezTo>
                  <a:cubicBezTo>
                    <a:pt x="992827" y="18929"/>
                    <a:pt x="1043492" y="101344"/>
                    <a:pt x="1076593" y="101344"/>
                  </a:cubicBezTo>
                  <a:cubicBezTo>
                    <a:pt x="1109694" y="101344"/>
                    <a:pt x="1134689" y="18929"/>
                    <a:pt x="1161710" y="20280"/>
                  </a:cubicBezTo>
                  <a:cubicBezTo>
                    <a:pt x="1188731" y="21631"/>
                    <a:pt x="1211700" y="110126"/>
                    <a:pt x="1238721" y="109450"/>
                  </a:cubicBezTo>
                  <a:cubicBezTo>
                    <a:pt x="1265742" y="108775"/>
                    <a:pt x="1294790" y="9319"/>
                    <a:pt x="1323838" y="16227"/>
                  </a:cubicBezTo>
                  <a:cubicBezTo>
                    <a:pt x="1352886" y="23135"/>
                    <a:pt x="1398824" y="108957"/>
                    <a:pt x="1413010" y="150897"/>
                  </a:cubicBezTo>
                  <a:cubicBezTo>
                    <a:pt x="1427196" y="192837"/>
                    <a:pt x="1415031" y="253900"/>
                    <a:pt x="1421110" y="267869"/>
                  </a:cubicBez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84" name="Freeform 783">
              <a:extLst>
                <a:ext uri="{FF2B5EF4-FFF2-40B4-BE49-F238E27FC236}">
                  <a16:creationId xmlns:a16="http://schemas.microsoft.com/office/drawing/2014/main" id="{00000000-0008-0000-0300-000010030000}"/>
                </a:ext>
              </a:extLst>
            </xdr:cNvPr>
            <xdr:cNvSpPr/>
          </xdr:nvSpPr>
          <xdr:spPr>
            <a:xfrm flipV="1">
              <a:off x="3714750" y="4867275"/>
              <a:ext cx="1531585" cy="306276"/>
            </a:xfrm>
            <a:custGeom>
              <a:avLst/>
              <a:gdLst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748299 w 1901927"/>
                <a:gd name="connsiteY4" fmla="*/ 193573 h 316476"/>
                <a:gd name="connsiteX5" fmla="*/ 1898855 w 1901927"/>
                <a:gd name="connsiteY5" fmla="*/ 193573 h 316476"/>
                <a:gd name="connsiteX6" fmla="*/ 1898855 w 1901927"/>
                <a:gd name="connsiteY6" fmla="*/ 316476 h 316476"/>
                <a:gd name="connsiteX7" fmla="*/ 1901927 w 1901927"/>
                <a:gd name="connsiteY7" fmla="*/ 310331 h 316476"/>
                <a:gd name="connsiteX0" fmla="*/ 0 w 1901927"/>
                <a:gd name="connsiteY0" fmla="*/ 310331 h 316476"/>
                <a:gd name="connsiteX1" fmla="*/ 0 w 1901927"/>
                <a:gd name="connsiteY1" fmla="*/ 193573 h 316476"/>
                <a:gd name="connsiteX2" fmla="*/ 344129 w 1901927"/>
                <a:gd name="connsiteY2" fmla="*/ 0 h 316476"/>
                <a:gd name="connsiteX3" fmla="*/ 1554726 w 1901927"/>
                <a:gd name="connsiteY3" fmla="*/ 0 h 316476"/>
                <a:gd name="connsiteX4" fmla="*/ 1898855 w 1901927"/>
                <a:gd name="connsiteY4" fmla="*/ 193573 h 316476"/>
                <a:gd name="connsiteX5" fmla="*/ 1898855 w 1901927"/>
                <a:gd name="connsiteY5" fmla="*/ 316476 h 316476"/>
                <a:gd name="connsiteX6" fmla="*/ 1901927 w 1901927"/>
                <a:gd name="connsiteY6" fmla="*/ 310331 h 3164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1901927" h="316476">
                  <a:moveTo>
                    <a:pt x="0" y="310331"/>
                  </a:moveTo>
                  <a:lnTo>
                    <a:pt x="0" y="193573"/>
                  </a:lnTo>
                  <a:lnTo>
                    <a:pt x="344129" y="0"/>
                  </a:lnTo>
                  <a:lnTo>
                    <a:pt x="1554726" y="0"/>
                  </a:lnTo>
                  <a:lnTo>
                    <a:pt x="1898855" y="193573"/>
                  </a:lnTo>
                  <a:lnTo>
                    <a:pt x="1898855" y="316476"/>
                  </a:lnTo>
                  <a:lnTo>
                    <a:pt x="1901927" y="310331"/>
                  </a:lnTo>
                </a:path>
              </a:pathLst>
            </a:custGeom>
            <a:solidFill>
              <a:schemeClr val="bg1">
                <a:lumMod val="75000"/>
              </a:schemeClr>
            </a:solidFill>
            <a:ln w="952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 defTabSz="914400" rtl="0" eaLnBrk="1" latinLnBrk="0" hangingPunct="1"/>
              <a:endParaRPr lang="en-GB" sz="1800" kern="12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39</xdr:col>
      <xdr:colOff>69432</xdr:colOff>
      <xdr:row>133</xdr:row>
      <xdr:rowOff>38104</xdr:rowOff>
    </xdr:from>
    <xdr:to>
      <xdr:col>39</xdr:col>
      <xdr:colOff>554677</xdr:colOff>
      <xdr:row>142</xdr:row>
      <xdr:rowOff>79597</xdr:rowOff>
    </xdr:to>
    <xdr:cxnSp macro="">
      <xdr:nvCxnSpPr>
        <xdr:cNvPr id="785" name="Elbow Connector 784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CxnSpPr/>
      </xdr:nvCxnSpPr>
      <xdr:spPr>
        <a:xfrm rot="5400000">
          <a:off x="10376623" y="21821503"/>
          <a:ext cx="1483954" cy="485245"/>
        </a:xfrm>
        <a:prstGeom prst="bentConnector3">
          <a:avLst>
            <a:gd name="adj1" fmla="val 99839"/>
          </a:avLst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84258</xdr:colOff>
      <xdr:row>83</xdr:row>
      <xdr:rowOff>16486</xdr:rowOff>
    </xdr:from>
    <xdr:to>
      <xdr:col>39</xdr:col>
      <xdr:colOff>50006</xdr:colOff>
      <xdr:row>86</xdr:row>
      <xdr:rowOff>157164</xdr:rowOff>
    </xdr:to>
    <xdr:grpSp>
      <xdr:nvGrpSpPr>
        <xdr:cNvPr id="937" name="Group 936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GrpSpPr/>
      </xdr:nvGrpSpPr>
      <xdr:grpSpPr>
        <a:xfrm>
          <a:off x="9875958" y="13513411"/>
          <a:ext cx="918248" cy="626453"/>
          <a:chOff x="9859290" y="14113486"/>
          <a:chExt cx="918248" cy="640740"/>
        </a:xfrm>
      </xdr:grpSpPr>
      <xdr:pic>
        <xdr:nvPicPr>
          <xdr:cNvPr id="770" name="picClarifier">
            <a:extLst>
              <a:ext uri="{FF2B5EF4-FFF2-40B4-BE49-F238E27FC236}">
                <a16:creationId xmlns:a16="http://schemas.microsoft.com/office/drawing/2014/main" id="{00000000-0008-0000-0300-00000203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59167" t="31984" r="23851" b="50834"/>
          <a:stretch/>
        </xdr:blipFill>
        <xdr:spPr>
          <a:xfrm>
            <a:off x="9872662" y="14116050"/>
            <a:ext cx="904876" cy="638176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9859290" y="14113486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Contact</a:t>
            </a:r>
            <a:r>
              <a:rPr lang="en-US" sz="800" baseline="0"/>
              <a:t> clarifier</a:t>
            </a:r>
            <a:endParaRPr lang="nl-NL" sz="800"/>
          </a:p>
        </xdr:txBody>
      </xdr:sp>
    </xdr:grpSp>
    <xdr:clientData/>
  </xdr:twoCellAnchor>
  <xdr:twoCellAnchor>
    <xdr:from>
      <xdr:col>35</xdr:col>
      <xdr:colOff>107157</xdr:colOff>
      <xdr:row>88</xdr:row>
      <xdr:rowOff>13738</xdr:rowOff>
    </xdr:from>
    <xdr:to>
      <xdr:col>39</xdr:col>
      <xdr:colOff>71438</xdr:colOff>
      <xdr:row>91</xdr:row>
      <xdr:rowOff>119063</xdr:rowOff>
    </xdr:to>
    <xdr:grpSp>
      <xdr:nvGrpSpPr>
        <xdr:cNvPr id="938" name="Group 937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GrpSpPr/>
      </xdr:nvGrpSpPr>
      <xdr:grpSpPr>
        <a:xfrm>
          <a:off x="9898857" y="14320288"/>
          <a:ext cx="916781" cy="648250"/>
          <a:chOff x="9906001" y="15087051"/>
          <a:chExt cx="916781" cy="653013"/>
        </a:xfrm>
      </xdr:grpSpPr>
      <xdr:pic>
        <xdr:nvPicPr>
          <xdr:cNvPr id="771" name="picGravity">
            <a:extLst>
              <a:ext uri="{FF2B5EF4-FFF2-40B4-BE49-F238E27FC236}">
                <a16:creationId xmlns:a16="http://schemas.microsoft.com/office/drawing/2014/main" id="{00000000-0008-0000-0300-00000303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84908" t="34099" r="1865" b="48720"/>
          <a:stretch/>
        </xdr:blipFill>
        <xdr:spPr>
          <a:xfrm>
            <a:off x="9972675" y="15120938"/>
            <a:ext cx="704850" cy="619126"/>
          </a:xfrm>
          <a:prstGeom prst="rect">
            <a:avLst/>
          </a:prstGeom>
        </xdr:spPr>
      </xdr:pic>
      <xdr:sp macro="" textlink="">
        <xdr:nvSpPr>
          <xdr:cNvPr id="786" name="TextBox 785">
            <a:extLst>
              <a:ext uri="{FF2B5EF4-FFF2-40B4-BE49-F238E27FC236}">
                <a16:creationId xmlns:a16="http://schemas.microsoft.com/office/drawing/2014/main" id="{00000000-0008-0000-0300-000012030000}"/>
              </a:ext>
            </a:extLst>
          </xdr:cNvPr>
          <xdr:cNvSpPr txBox="1"/>
        </xdr:nvSpPr>
        <xdr:spPr>
          <a:xfrm>
            <a:off x="9906001" y="15087051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Gravity Filtration</a:t>
            </a:r>
            <a:endParaRPr lang="nl-NL" sz="800"/>
          </a:p>
        </xdr:txBody>
      </xdr:sp>
    </xdr:grpSp>
    <xdr:clientData/>
  </xdr:twoCellAnchor>
  <xdr:twoCellAnchor>
    <xdr:from>
      <xdr:col>35</xdr:col>
      <xdr:colOff>0</xdr:colOff>
      <xdr:row>76</xdr:row>
      <xdr:rowOff>89755</xdr:rowOff>
    </xdr:from>
    <xdr:to>
      <xdr:col>39</xdr:col>
      <xdr:colOff>123825</xdr:colOff>
      <xdr:row>82</xdr:row>
      <xdr:rowOff>19050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9791700" y="12453205"/>
          <a:ext cx="1076325" cy="900845"/>
          <a:chOff x="9786938" y="12805630"/>
          <a:chExt cx="1076325" cy="929420"/>
        </a:xfrm>
      </xdr:grpSpPr>
      <xdr:pic>
        <xdr:nvPicPr>
          <xdr:cNvPr id="769" name="picTrickling">
            <a:extLst>
              <a:ext uri="{FF2B5EF4-FFF2-40B4-BE49-F238E27FC236}">
                <a16:creationId xmlns:a16="http://schemas.microsoft.com/office/drawing/2014/main" id="{00000000-0008-0000-0300-00000103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4111" t="10573" r="75690" b="66430"/>
          <a:stretch/>
        </xdr:blipFill>
        <xdr:spPr>
          <a:xfrm>
            <a:off x="9786938" y="12882563"/>
            <a:ext cx="1076325" cy="852487"/>
          </a:xfrm>
          <a:prstGeom prst="rect">
            <a:avLst/>
          </a:prstGeom>
        </xdr:spPr>
      </xdr:pic>
      <xdr:sp macro="" textlink="">
        <xdr:nvSpPr>
          <xdr:cNvPr id="787" name="TextBox 786">
            <a:extLst>
              <a:ext uri="{FF2B5EF4-FFF2-40B4-BE49-F238E27FC236}">
                <a16:creationId xmlns:a16="http://schemas.microsoft.com/office/drawing/2014/main" id="{00000000-0008-0000-0300-000013030000}"/>
              </a:ext>
            </a:extLst>
          </xdr:cNvPr>
          <xdr:cNvSpPr txBox="1"/>
        </xdr:nvSpPr>
        <xdr:spPr>
          <a:xfrm>
            <a:off x="9926150" y="12805630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Trickling Filter</a:t>
            </a:r>
            <a:endParaRPr lang="nl-NL" sz="800"/>
          </a:p>
        </xdr:txBody>
      </xdr:sp>
    </xdr:grpSp>
    <xdr:clientData/>
  </xdr:twoCellAnchor>
  <xdr:twoCellAnchor>
    <xdr:from>
      <xdr:col>35</xdr:col>
      <xdr:colOff>119690</xdr:colOff>
      <xdr:row>92</xdr:row>
      <xdr:rowOff>21932</xdr:rowOff>
    </xdr:from>
    <xdr:to>
      <xdr:col>39</xdr:col>
      <xdr:colOff>83971</xdr:colOff>
      <xdr:row>94</xdr:row>
      <xdr:rowOff>155694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pSpPr/>
      </xdr:nvGrpSpPr>
      <xdr:grpSpPr>
        <a:xfrm>
          <a:off x="9911390" y="15061907"/>
          <a:ext cx="916781" cy="514762"/>
          <a:chOff x="11287752" y="14237995"/>
          <a:chExt cx="916781" cy="514762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1293536" y="14407264"/>
            <a:ext cx="822447" cy="345493"/>
          </a:xfrm>
          <a:prstGeom prst="rect">
            <a:avLst/>
          </a:prstGeom>
          <a:gradFill flip="none" rotWithShape="1">
            <a:gsLst>
              <a:gs pos="0">
                <a:schemeClr val="lt1">
                  <a:shade val="30000"/>
                  <a:satMod val="115000"/>
                </a:schemeClr>
              </a:gs>
              <a:gs pos="50000">
                <a:schemeClr val="lt1">
                  <a:shade val="67500"/>
                  <a:satMod val="115000"/>
                </a:schemeClr>
              </a:gs>
              <a:gs pos="100000">
                <a:schemeClr val="lt1">
                  <a:shade val="100000"/>
                  <a:satMod val="115000"/>
                </a:schemeClr>
              </a:gs>
            </a:gsLst>
            <a:lin ang="18900000" scaled="1"/>
            <a:tileRect/>
          </a:gradFill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11294019" y="14407816"/>
            <a:ext cx="820277" cy="34277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88" name="TextBox 787">
            <a:extLst>
              <a:ext uri="{FF2B5EF4-FFF2-40B4-BE49-F238E27FC236}">
                <a16:creationId xmlns:a16="http://schemas.microsoft.com/office/drawing/2014/main" id="{00000000-0008-0000-0300-000014030000}"/>
              </a:ext>
            </a:extLst>
          </xdr:cNvPr>
          <xdr:cNvSpPr txBox="1"/>
        </xdr:nvSpPr>
        <xdr:spPr>
          <a:xfrm>
            <a:off x="11287752" y="14237995"/>
            <a:ext cx="916781" cy="16027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800"/>
              <a:t>Reverse Osmosis</a:t>
            </a:r>
            <a:endParaRPr lang="nl-NL" sz="8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24</xdr:row>
          <xdr:rowOff>123825</xdr:rowOff>
        </xdr:from>
        <xdr:to>
          <xdr:col>6</xdr:col>
          <xdr:colOff>0</xdr:colOff>
          <xdr:row>25</xdr:row>
          <xdr:rowOff>148590</xdr:rowOff>
        </xdr:to>
        <xdr:sp macro="" textlink="">
          <xdr:nvSpPr>
            <xdr:cNvPr id="3074" name="Scroll Ba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</xdr:row>
          <xdr:rowOff>104775</xdr:rowOff>
        </xdr:from>
        <xdr:to>
          <xdr:col>5</xdr:col>
          <xdr:colOff>304800</xdr:colOff>
          <xdr:row>3</xdr:row>
          <xdr:rowOff>118110</xdr:rowOff>
        </xdr:to>
        <xdr:sp macro="" textlink="">
          <xdr:nvSpPr>
            <xdr:cNvPr id="3079" name="Scroll Bar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647700</xdr:colOff>
      <xdr:row>22</xdr:row>
      <xdr:rowOff>142875</xdr:rowOff>
    </xdr:from>
    <xdr:to>
      <xdr:col>12</xdr:col>
      <xdr:colOff>419100</xdr:colOff>
      <xdr:row>36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92D050"/>
  </sheetPr>
  <dimension ref="A1:AA47"/>
  <sheetViews>
    <sheetView showGridLines="0" showRowColHeaders="0" topLeftCell="A19" workbookViewId="0">
      <selection activeCell="H27" sqref="H27:K30"/>
    </sheetView>
  </sheetViews>
  <sheetFormatPr defaultColWidth="8" defaultRowHeight="15"/>
  <cols>
    <col min="1" max="1" width="1.25" style="83" customWidth="1"/>
    <col min="2" max="2" width="1.875" style="83" customWidth="1"/>
    <col min="3" max="6" width="8.625" style="83" customWidth="1"/>
    <col min="7" max="7" width="1.875" style="83" customWidth="1"/>
    <col min="8" max="11" width="8.625" style="83" customWidth="1"/>
    <col min="12" max="12" width="1.875" style="83" customWidth="1"/>
    <col min="13" max="16" width="8.625" style="83" customWidth="1"/>
    <col min="17" max="17" width="1.875" style="83" customWidth="1"/>
    <col min="18" max="21" width="8.625" style="83" customWidth="1"/>
    <col min="22" max="22" width="1.875" style="83" customWidth="1"/>
    <col min="23" max="27" width="8" style="83" customWidth="1"/>
    <col min="28" max="16384" width="8" style="83"/>
  </cols>
  <sheetData>
    <row r="1" spans="1:27" ht="7.5" customHeight="1">
      <c r="A1" s="82"/>
    </row>
    <row r="2" spans="1:27">
      <c r="B2" s="84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6"/>
      <c r="W2" s="82"/>
      <c r="X2" s="82"/>
      <c r="Y2" s="82"/>
    </row>
    <row r="3" spans="1:27">
      <c r="B3" s="87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9"/>
      <c r="X3" s="89"/>
      <c r="Y3" s="89"/>
      <c r="Z3" s="90"/>
      <c r="AA3" s="90"/>
    </row>
    <row r="4" spans="1:27">
      <c r="B4" s="87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9"/>
      <c r="X4" s="89"/>
      <c r="Y4" s="89"/>
      <c r="Z4" s="90"/>
      <c r="AA4" s="90"/>
    </row>
    <row r="5" spans="1:27">
      <c r="B5" s="87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9"/>
      <c r="X5" s="89" t="s">
        <v>120</v>
      </c>
      <c r="Y5" s="89">
        <v>0</v>
      </c>
      <c r="Z5" s="89" t="s">
        <v>121</v>
      </c>
      <c r="AA5" s="90">
        <v>0</v>
      </c>
    </row>
    <row r="6" spans="1:27">
      <c r="B6" s="87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9"/>
      <c r="X6" s="89" t="s">
        <v>122</v>
      </c>
      <c r="Y6" s="89">
        <v>0</v>
      </c>
      <c r="Z6" s="89" t="s">
        <v>123</v>
      </c>
      <c r="AA6" s="90">
        <v>0</v>
      </c>
    </row>
    <row r="7" spans="1:27">
      <c r="B7" s="87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9"/>
      <c r="X7" s="89" t="s">
        <v>124</v>
      </c>
      <c r="Y7" s="89">
        <v>0</v>
      </c>
      <c r="Z7" s="89" t="s">
        <v>125</v>
      </c>
      <c r="AA7" s="90">
        <v>0</v>
      </c>
    </row>
    <row r="8" spans="1:27">
      <c r="B8" s="91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89"/>
      <c r="X8" s="89" t="s">
        <v>126</v>
      </c>
      <c r="Y8" s="89">
        <v>0</v>
      </c>
      <c r="Z8" s="89" t="s">
        <v>127</v>
      </c>
      <c r="AA8" s="90">
        <v>0</v>
      </c>
    </row>
    <row r="9" spans="1:27" ht="15" customHeight="1">
      <c r="B9" s="87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9"/>
      <c r="X9" s="89"/>
      <c r="Y9" s="90"/>
      <c r="Z9" s="90"/>
      <c r="AA9" s="90"/>
    </row>
    <row r="10" spans="1:27" ht="15" customHeight="1">
      <c r="B10" s="87"/>
      <c r="C10" s="93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9"/>
      <c r="X10" s="89"/>
      <c r="Y10" s="90"/>
      <c r="Z10" s="90"/>
      <c r="AA10" s="90"/>
    </row>
    <row r="11" spans="1:27" ht="15" customHeight="1">
      <c r="B11" s="87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94"/>
      <c r="N11" s="94"/>
      <c r="O11" s="94"/>
      <c r="P11" s="94"/>
      <c r="Q11" s="94"/>
      <c r="R11" s="94"/>
      <c r="S11" s="94"/>
      <c r="T11" s="94"/>
      <c r="U11" s="94"/>
      <c r="V11" s="95"/>
      <c r="W11" s="82"/>
      <c r="X11" s="96"/>
    </row>
    <row r="12" spans="1:27" ht="15" customHeight="1">
      <c r="B12" s="87"/>
      <c r="C12" s="97"/>
      <c r="D12" s="98"/>
      <c r="E12" s="98"/>
      <c r="F12" s="98"/>
      <c r="G12" s="98"/>
      <c r="H12" s="98"/>
      <c r="I12" s="98"/>
      <c r="J12" s="98"/>
      <c r="K12" s="98"/>
      <c r="L12" s="98"/>
      <c r="M12" s="94"/>
      <c r="N12" s="94"/>
      <c r="O12" s="94"/>
      <c r="P12" s="94"/>
      <c r="Q12" s="94"/>
      <c r="R12" s="94"/>
      <c r="S12" s="94"/>
      <c r="T12" s="94"/>
      <c r="U12" s="94"/>
      <c r="V12" s="95"/>
      <c r="W12" s="82"/>
      <c r="X12" s="96"/>
    </row>
    <row r="13" spans="1:27" ht="15" customHeight="1">
      <c r="B13" s="87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4"/>
      <c r="N13" s="94"/>
      <c r="O13" s="94"/>
      <c r="P13" s="94"/>
      <c r="Q13" s="94"/>
      <c r="R13" s="94"/>
      <c r="S13" s="94"/>
      <c r="T13" s="94"/>
      <c r="U13" s="94"/>
      <c r="V13" s="95"/>
      <c r="W13" s="82"/>
      <c r="X13" s="96"/>
      <c r="Y13" s="82"/>
    </row>
    <row r="14" spans="1:27" ht="15" customHeight="1">
      <c r="B14" s="87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4"/>
      <c r="N14" s="94"/>
      <c r="O14" s="94"/>
      <c r="P14" s="94"/>
      <c r="Q14" s="94"/>
      <c r="R14" s="94"/>
      <c r="S14" s="94"/>
      <c r="T14" s="94"/>
      <c r="U14" s="94"/>
      <c r="V14" s="95"/>
      <c r="W14" s="82"/>
      <c r="X14" s="82"/>
      <c r="Y14" s="82"/>
    </row>
    <row r="15" spans="1:27" ht="15" customHeight="1">
      <c r="B15" s="87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94"/>
      <c r="N15" s="94"/>
      <c r="O15" s="94"/>
      <c r="P15" s="94"/>
      <c r="Q15" s="94"/>
      <c r="R15" s="94"/>
      <c r="S15" s="94"/>
      <c r="T15" s="94"/>
      <c r="U15" s="94"/>
      <c r="V15" s="95"/>
      <c r="W15" s="82"/>
      <c r="X15" s="82"/>
      <c r="Y15" s="82"/>
    </row>
    <row r="16" spans="1:27" ht="15" customHeight="1">
      <c r="B16" s="87"/>
      <c r="C16" s="93"/>
      <c r="D16" s="88"/>
      <c r="E16" s="88"/>
      <c r="F16" s="88"/>
      <c r="G16" s="88"/>
      <c r="H16" s="88"/>
      <c r="I16" s="88"/>
      <c r="J16" s="88"/>
      <c r="K16" s="88"/>
      <c r="L16" s="88"/>
      <c r="M16" s="94"/>
      <c r="N16" s="94"/>
      <c r="O16" s="94"/>
      <c r="P16" s="94"/>
      <c r="Q16" s="94"/>
      <c r="R16" s="94"/>
      <c r="S16" s="94"/>
      <c r="T16" s="94"/>
      <c r="U16" s="94"/>
      <c r="V16" s="95"/>
      <c r="W16" s="82"/>
      <c r="X16" s="82"/>
      <c r="Y16" s="82"/>
    </row>
    <row r="17" spans="2:25" ht="15" customHeight="1">
      <c r="B17" s="87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94"/>
      <c r="N17" s="94"/>
      <c r="O17" s="94"/>
      <c r="P17" s="94"/>
      <c r="Q17" s="94"/>
      <c r="R17" s="94"/>
      <c r="S17" s="94"/>
      <c r="T17" s="94"/>
      <c r="U17" s="94"/>
      <c r="V17" s="95"/>
      <c r="W17" s="82"/>
      <c r="X17" s="82"/>
      <c r="Y17" s="82"/>
    </row>
    <row r="18" spans="2:25" ht="15" customHeight="1">
      <c r="B18" s="87"/>
      <c r="C18" s="88"/>
      <c r="D18" s="99"/>
      <c r="E18" s="88"/>
      <c r="F18" s="88"/>
      <c r="G18" s="88"/>
      <c r="H18" s="88"/>
      <c r="I18" s="88"/>
      <c r="J18" s="88"/>
      <c r="K18" s="88"/>
      <c r="L18" s="88"/>
      <c r="M18" s="94"/>
      <c r="N18" s="94"/>
      <c r="O18" s="94"/>
      <c r="P18" s="94"/>
      <c r="Q18" s="94"/>
      <c r="R18" s="94"/>
      <c r="S18" s="94"/>
      <c r="T18" s="94"/>
      <c r="U18" s="94"/>
      <c r="V18" s="95"/>
      <c r="W18" s="82"/>
      <c r="Y18" s="82"/>
    </row>
    <row r="19" spans="2:25" ht="15" customHeight="1">
      <c r="B19" s="87"/>
      <c r="C19" s="88"/>
      <c r="D19" s="97"/>
      <c r="E19" s="97"/>
      <c r="F19" s="97"/>
      <c r="G19" s="97"/>
      <c r="H19" s="97"/>
      <c r="I19" s="97"/>
      <c r="J19" s="88"/>
      <c r="K19" s="88"/>
      <c r="L19" s="88"/>
      <c r="M19" s="94"/>
      <c r="N19" s="94"/>
      <c r="O19" s="94"/>
      <c r="P19" s="94"/>
      <c r="Q19" s="94"/>
      <c r="R19" s="94"/>
      <c r="S19" s="94"/>
      <c r="T19" s="94"/>
      <c r="U19" s="94"/>
      <c r="V19" s="95"/>
      <c r="W19" s="82"/>
      <c r="X19" s="82"/>
    </row>
    <row r="20" spans="2:25" ht="15" customHeight="1">
      <c r="B20" s="87"/>
      <c r="C20" s="88"/>
      <c r="D20" s="97"/>
      <c r="E20" s="97"/>
      <c r="F20" s="97"/>
      <c r="G20" s="97"/>
      <c r="H20" s="97"/>
      <c r="I20" s="97"/>
      <c r="J20" s="88"/>
      <c r="K20" s="88"/>
      <c r="L20" s="88"/>
      <c r="M20" s="94"/>
      <c r="N20" s="94"/>
      <c r="O20" s="94"/>
      <c r="P20" s="94"/>
      <c r="Q20" s="94"/>
      <c r="R20" s="94"/>
      <c r="S20" s="94"/>
      <c r="T20" s="94"/>
      <c r="U20" s="94"/>
      <c r="V20" s="95"/>
      <c r="W20" s="82"/>
      <c r="X20" s="82"/>
    </row>
    <row r="21" spans="2:25" ht="15" customHeight="1">
      <c r="B21" s="87"/>
      <c r="C21" s="88"/>
      <c r="D21" s="97"/>
      <c r="E21" s="97"/>
      <c r="F21" s="97"/>
      <c r="G21" s="97"/>
      <c r="H21" s="97"/>
      <c r="I21" s="97"/>
      <c r="J21" s="88"/>
      <c r="K21" s="88"/>
      <c r="L21" s="88"/>
      <c r="M21" s="94"/>
      <c r="N21" s="94"/>
      <c r="O21" s="94"/>
      <c r="P21" s="94"/>
      <c r="Q21" s="94"/>
      <c r="R21" s="94"/>
      <c r="S21" s="94"/>
      <c r="T21" s="94"/>
      <c r="U21" s="94"/>
      <c r="V21" s="95"/>
      <c r="W21" s="82"/>
      <c r="X21" s="82"/>
    </row>
    <row r="22" spans="2:25" ht="15" customHeight="1">
      <c r="B22" s="87"/>
      <c r="C22" s="100"/>
      <c r="D22" s="101"/>
      <c r="E22" s="101"/>
      <c r="F22" s="101"/>
      <c r="G22" s="101"/>
      <c r="H22" s="101"/>
      <c r="I22" s="101"/>
      <c r="J22" s="100"/>
      <c r="K22" s="100"/>
      <c r="L22" s="100"/>
      <c r="M22" s="94"/>
      <c r="N22" s="94"/>
      <c r="O22" s="94"/>
      <c r="P22" s="94"/>
      <c r="Q22" s="94"/>
      <c r="R22" s="94"/>
      <c r="S22" s="94"/>
      <c r="T22" s="94"/>
      <c r="U22" s="94"/>
      <c r="V22" s="95"/>
      <c r="W22" s="82"/>
      <c r="X22" s="82"/>
    </row>
    <row r="23" spans="2:25" ht="15" customHeight="1">
      <c r="B23" s="87"/>
      <c r="C23" s="100"/>
      <c r="D23" s="102"/>
      <c r="E23" s="100"/>
      <c r="F23" s="100"/>
      <c r="G23" s="100"/>
      <c r="H23" s="100"/>
      <c r="I23" s="100"/>
      <c r="J23" s="100"/>
      <c r="K23" s="100"/>
      <c r="L23" s="100"/>
      <c r="M23" s="94"/>
      <c r="N23" s="94"/>
      <c r="O23" s="94"/>
      <c r="P23" s="94"/>
      <c r="Q23" s="94"/>
      <c r="R23" s="94"/>
      <c r="S23" s="94"/>
      <c r="T23" s="94"/>
      <c r="U23" s="94"/>
      <c r="V23" s="95"/>
      <c r="W23" s="82"/>
      <c r="X23" s="82"/>
      <c r="Y23" s="82"/>
    </row>
    <row r="24" spans="2:25" ht="15" customHeight="1">
      <c r="B24" s="87"/>
      <c r="C24" s="100"/>
      <c r="D24" s="101"/>
      <c r="E24" s="101"/>
      <c r="F24" s="101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94"/>
      <c r="T24" s="94"/>
      <c r="U24" s="94"/>
      <c r="V24" s="95"/>
      <c r="W24" s="82"/>
      <c r="X24" s="82"/>
      <c r="Y24" s="82"/>
    </row>
    <row r="25" spans="2:25" ht="15" customHeight="1">
      <c r="B25" s="87"/>
      <c r="C25" s="103"/>
      <c r="D25" s="104"/>
      <c r="E25" s="104"/>
      <c r="F25" s="105"/>
      <c r="G25" s="105"/>
      <c r="H25" s="390" t="s">
        <v>261</v>
      </c>
      <c r="I25" s="390"/>
      <c r="J25" s="390"/>
      <c r="K25" s="390"/>
      <c r="L25" s="103"/>
      <c r="M25" s="390" t="s">
        <v>262</v>
      </c>
      <c r="N25" s="390"/>
      <c r="O25" s="390"/>
      <c r="P25" s="390"/>
      <c r="Q25" s="105"/>
      <c r="R25" s="109"/>
      <c r="S25" s="109"/>
      <c r="T25" s="109"/>
      <c r="U25" s="109"/>
      <c r="V25" s="95"/>
      <c r="W25" s="82"/>
      <c r="X25" s="82"/>
      <c r="Y25" s="82"/>
    </row>
    <row r="26" spans="2:25" ht="15" customHeight="1">
      <c r="B26" s="87"/>
      <c r="C26" s="103"/>
      <c r="D26" s="104"/>
      <c r="E26" s="104"/>
      <c r="F26" s="105"/>
      <c r="G26" s="105"/>
      <c r="H26" s="390"/>
      <c r="I26" s="390"/>
      <c r="J26" s="390"/>
      <c r="K26" s="390"/>
      <c r="L26" s="106"/>
      <c r="M26" s="390"/>
      <c r="N26" s="390"/>
      <c r="O26" s="390"/>
      <c r="P26" s="390"/>
      <c r="Q26" s="109"/>
      <c r="R26" s="109"/>
      <c r="S26" s="109"/>
      <c r="T26" s="109"/>
      <c r="U26" s="109"/>
      <c r="V26" s="95"/>
      <c r="W26" s="82"/>
      <c r="X26" s="82"/>
      <c r="Y26" s="82"/>
    </row>
    <row r="27" spans="2:25" ht="15" customHeight="1">
      <c r="B27" s="87"/>
      <c r="C27" s="103"/>
      <c r="D27" s="104"/>
      <c r="E27" s="104"/>
      <c r="F27" s="105"/>
      <c r="G27" s="105"/>
      <c r="H27" s="391" t="s">
        <v>263</v>
      </c>
      <c r="I27" s="391"/>
      <c r="J27" s="391"/>
      <c r="K27" s="391"/>
      <c r="L27" s="105"/>
      <c r="M27" s="391" t="s">
        <v>222</v>
      </c>
      <c r="N27" s="391"/>
      <c r="O27" s="391"/>
      <c r="P27" s="391"/>
      <c r="Q27" s="105"/>
      <c r="R27" s="105"/>
      <c r="S27" s="105"/>
      <c r="T27" s="105"/>
      <c r="U27" s="109"/>
      <c r="V27" s="95"/>
      <c r="W27" s="82"/>
      <c r="X27" s="82"/>
      <c r="Y27" s="82"/>
    </row>
    <row r="28" spans="2:25" ht="15" customHeight="1">
      <c r="B28" s="87"/>
      <c r="C28" s="103"/>
      <c r="D28" s="104"/>
      <c r="E28" s="104"/>
      <c r="F28" s="105"/>
      <c r="G28" s="107"/>
      <c r="H28" s="391"/>
      <c r="I28" s="391"/>
      <c r="J28" s="391"/>
      <c r="K28" s="391"/>
      <c r="L28" s="108"/>
      <c r="M28" s="391"/>
      <c r="N28" s="391"/>
      <c r="O28" s="391"/>
      <c r="P28" s="391"/>
      <c r="Q28" s="107"/>
      <c r="R28" s="109"/>
      <c r="S28" s="109"/>
      <c r="T28" s="109"/>
      <c r="U28" s="109"/>
      <c r="V28" s="95"/>
      <c r="W28" s="82"/>
      <c r="X28" s="82"/>
      <c r="Y28" s="82"/>
    </row>
    <row r="29" spans="2:25" ht="15" customHeight="1">
      <c r="B29" s="87"/>
      <c r="C29" s="103"/>
      <c r="D29" s="104"/>
      <c r="E29" s="104"/>
      <c r="F29" s="105"/>
      <c r="G29" s="177"/>
      <c r="H29" s="391"/>
      <c r="I29" s="391"/>
      <c r="J29" s="391"/>
      <c r="K29" s="391"/>
      <c r="L29" s="108"/>
      <c r="M29" s="391"/>
      <c r="N29" s="391"/>
      <c r="O29" s="391"/>
      <c r="P29" s="391"/>
      <c r="Q29" s="108"/>
      <c r="R29" s="109"/>
      <c r="S29" s="109"/>
      <c r="T29" s="109"/>
      <c r="U29" s="109"/>
      <c r="V29" s="95"/>
      <c r="W29" s="82"/>
      <c r="X29" s="82"/>
      <c r="Y29" s="82"/>
    </row>
    <row r="30" spans="2:25" ht="15" customHeight="1">
      <c r="B30" s="87"/>
      <c r="C30" s="103"/>
      <c r="D30" s="104"/>
      <c r="E30" s="104"/>
      <c r="F30" s="105"/>
      <c r="G30" s="177"/>
      <c r="H30" s="391"/>
      <c r="I30" s="391"/>
      <c r="J30" s="391"/>
      <c r="K30" s="391"/>
      <c r="L30" s="108"/>
      <c r="M30" s="391"/>
      <c r="N30" s="391"/>
      <c r="O30" s="391"/>
      <c r="P30" s="391"/>
      <c r="Q30" s="108"/>
      <c r="R30" s="109"/>
      <c r="S30" s="109"/>
      <c r="T30" s="109"/>
      <c r="U30" s="109"/>
      <c r="V30" s="95"/>
      <c r="W30" s="82"/>
      <c r="X30" s="82"/>
      <c r="Y30" s="82"/>
    </row>
    <row r="31" spans="2:25" ht="15" customHeight="1">
      <c r="B31" s="87"/>
      <c r="C31" s="103"/>
      <c r="D31" s="104"/>
      <c r="E31" s="104"/>
      <c r="F31" s="105"/>
      <c r="G31" s="177"/>
      <c r="H31" s="109"/>
      <c r="I31" s="109"/>
      <c r="J31" s="109"/>
      <c r="K31" s="109"/>
      <c r="L31" s="109"/>
      <c r="M31" s="109"/>
      <c r="N31" s="109"/>
      <c r="O31" s="109"/>
      <c r="P31" s="109"/>
      <c r="Q31" s="108"/>
      <c r="R31" s="109"/>
      <c r="S31" s="109"/>
      <c r="T31" s="109"/>
      <c r="U31" s="109"/>
      <c r="V31" s="95"/>
      <c r="W31" s="82"/>
      <c r="X31" s="82"/>
      <c r="Y31" s="82"/>
    </row>
    <row r="32" spans="2:25" ht="15" customHeight="1">
      <c r="B32" s="87"/>
      <c r="C32" s="103"/>
      <c r="D32" s="104"/>
      <c r="E32" s="104"/>
      <c r="F32" s="105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95"/>
      <c r="W32" s="82"/>
      <c r="X32" s="82"/>
      <c r="Y32" s="82"/>
    </row>
    <row r="33" spans="2:25" ht="15" customHeight="1">
      <c r="B33" s="87"/>
      <c r="C33" s="103"/>
      <c r="D33" s="104"/>
      <c r="E33" s="104"/>
      <c r="F33" s="105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95"/>
      <c r="W33" s="82"/>
      <c r="X33" s="82"/>
    </row>
    <row r="34" spans="2:25" ht="15" customHeight="1">
      <c r="B34" s="87"/>
      <c r="C34" s="103"/>
      <c r="D34" s="104"/>
      <c r="E34" s="104"/>
      <c r="F34" s="105"/>
      <c r="G34" s="104"/>
      <c r="H34" s="104"/>
      <c r="I34" s="104"/>
      <c r="J34" s="104"/>
      <c r="K34" s="104"/>
      <c r="L34" s="104"/>
      <c r="M34" s="104"/>
      <c r="N34" s="104"/>
      <c r="O34" s="110"/>
      <c r="P34" s="104"/>
      <c r="Q34" s="104"/>
      <c r="R34" s="104"/>
      <c r="S34" s="104"/>
      <c r="T34" s="104"/>
      <c r="U34" s="104"/>
      <c r="V34" s="95"/>
      <c r="W34" s="82"/>
      <c r="X34" s="82"/>
    </row>
    <row r="35" spans="2:25" ht="15" customHeight="1">
      <c r="B35" s="87"/>
      <c r="C35" s="103"/>
      <c r="D35" s="104"/>
      <c r="E35" s="104"/>
      <c r="F35" s="105"/>
      <c r="G35" s="101"/>
      <c r="H35" s="109"/>
      <c r="I35" s="109"/>
      <c r="J35" s="109"/>
      <c r="K35" s="109"/>
      <c r="L35" s="101"/>
      <c r="M35" s="101"/>
      <c r="N35" s="101"/>
      <c r="O35" s="100"/>
      <c r="P35" s="101"/>
      <c r="Q35" s="101"/>
      <c r="R35" s="101"/>
      <c r="S35" s="101"/>
      <c r="T35" s="101"/>
      <c r="U35" s="101"/>
      <c r="V35" s="95"/>
      <c r="W35" s="82"/>
      <c r="X35" s="82"/>
    </row>
    <row r="36" spans="2:25" ht="15" customHeight="1">
      <c r="B36" s="87"/>
      <c r="C36" s="100"/>
      <c r="D36" s="101"/>
      <c r="E36" s="101"/>
      <c r="F36" s="101"/>
      <c r="G36" s="101"/>
      <c r="H36" s="101"/>
      <c r="I36" s="101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95"/>
      <c r="W36" s="82"/>
      <c r="X36" s="82"/>
    </row>
    <row r="37" spans="2:25" ht="15" customHeight="1">
      <c r="B37" s="87"/>
      <c r="C37" s="389"/>
      <c r="D37" s="389"/>
      <c r="E37" s="389"/>
      <c r="F37" s="389"/>
      <c r="G37" s="101"/>
      <c r="H37" s="101"/>
      <c r="I37" s="101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95"/>
      <c r="W37" s="82"/>
      <c r="X37" s="82"/>
      <c r="Y37" s="82"/>
    </row>
    <row r="38" spans="2:25" ht="15" customHeight="1">
      <c r="B38" s="111"/>
      <c r="C38" s="112"/>
      <c r="D38" s="113"/>
      <c r="E38" s="113"/>
      <c r="F38" s="113"/>
      <c r="G38" s="113"/>
      <c r="H38" s="113"/>
      <c r="I38" s="113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4"/>
      <c r="W38" s="82"/>
      <c r="X38" s="82"/>
      <c r="Y38" s="82"/>
    </row>
    <row r="39" spans="2:25">
      <c r="B39" s="82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</row>
    <row r="43" spans="2:25" ht="15.75">
      <c r="H43"/>
    </row>
    <row r="47" spans="2:25" ht="15.75">
      <c r="O47"/>
    </row>
  </sheetData>
  <sheetProtection selectLockedCells="1"/>
  <mergeCells count="5">
    <mergeCell ref="C37:F37"/>
    <mergeCell ref="H25:K26"/>
    <mergeCell ref="M25:P26"/>
    <mergeCell ref="H27:K30"/>
    <mergeCell ref="M27:P3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print="0" autoFill="0" autoPict="0" macro="[0]!NewCase">
                <anchor moveWithCells="1" sizeWithCells="1">
                  <from>
                    <xdr:col>7</xdr:col>
                    <xdr:colOff>57150</xdr:colOff>
                    <xdr:row>29</xdr:row>
                    <xdr:rowOff>95250</xdr:rowOff>
                  </from>
                  <to>
                    <xdr:col>10</xdr:col>
                    <xdr:colOff>295275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5" name="Button 7">
              <controlPr defaultSize="0" print="0" autoFill="0" autoPict="0" macro="[0]!ShowCoolingSystem">
                <anchor moveWithCells="1" sizeWithCells="1">
                  <from>
                    <xdr:col>12</xdr:col>
                    <xdr:colOff>76200</xdr:colOff>
                    <xdr:row>29</xdr:row>
                    <xdr:rowOff>95250</xdr:rowOff>
                  </from>
                  <to>
                    <xdr:col>15</xdr:col>
                    <xdr:colOff>314325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CoolingSelect">
                <anchor moveWithCells="1" sizeWithCells="1">
                  <from>
                    <xdr:col>7</xdr:col>
                    <xdr:colOff>66675</xdr:colOff>
                    <xdr:row>33</xdr:row>
                    <xdr:rowOff>66675</xdr:rowOff>
                  </from>
                  <to>
                    <xdr:col>10</xdr:col>
                    <xdr:colOff>304800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7" name="Button 9">
              <controlPr defaultSize="0" print="0" autoFill="0" autoPict="0" macro="[0]!ShowReport">
                <anchor moveWithCells="1" sizeWithCells="1">
                  <from>
                    <xdr:col>12</xdr:col>
                    <xdr:colOff>76200</xdr:colOff>
                    <xdr:row>33</xdr:row>
                    <xdr:rowOff>66675</xdr:rowOff>
                  </from>
                  <to>
                    <xdr:col>15</xdr:col>
                    <xdr:colOff>314325</xdr:colOff>
                    <xdr:row>36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6"/>
  </sheetPr>
  <dimension ref="A1:EU82"/>
  <sheetViews>
    <sheetView showGridLines="0" showRowColHeaders="0" topLeftCell="E6" zoomScaleNormal="100" workbookViewId="0">
      <selection activeCell="DA33" sqref="DA33"/>
    </sheetView>
  </sheetViews>
  <sheetFormatPr defaultColWidth="9" defaultRowHeight="12.75"/>
  <cols>
    <col min="1" max="1" width="1.25" style="6" customWidth="1"/>
    <col min="2" max="2" width="0.875" style="6" customWidth="1"/>
    <col min="3" max="3" width="7.375" style="6" customWidth="1"/>
    <col min="4" max="4" width="5.375" style="6" customWidth="1"/>
    <col min="5" max="5" width="5.25" style="6" customWidth="1"/>
    <col min="6" max="6" width="4.5" style="6" customWidth="1"/>
    <col min="7" max="7" width="3.875" style="6" customWidth="1"/>
    <col min="8" max="8" width="6.75" style="6" customWidth="1"/>
    <col min="9" max="9" width="2.5" style="6" customWidth="1"/>
    <col min="10" max="10" width="1.125" style="6" customWidth="1"/>
    <col min="11" max="12" width="0.75" style="6" customWidth="1"/>
    <col min="13" max="13" width="1.5" style="6" customWidth="1"/>
    <col min="14" max="14" width="1.75" style="6" customWidth="1"/>
    <col min="15" max="18" width="1.375" style="6" customWidth="1"/>
    <col min="19" max="21" width="1.625" style="6" customWidth="1"/>
    <col min="22" max="87" width="1.375" style="6" customWidth="1"/>
    <col min="88" max="88" width="1.25" style="6" customWidth="1"/>
    <col min="89" max="89" width="0.75" style="6" customWidth="1"/>
    <col min="90" max="96" width="1.25" style="6" customWidth="1"/>
    <col min="97" max="97" width="1.875" style="6" customWidth="1"/>
    <col min="98" max="98" width="6.625" style="6" customWidth="1"/>
    <col min="99" max="100" width="2.375" style="6" customWidth="1"/>
    <col min="101" max="148" width="6.5" style="7" customWidth="1"/>
    <col min="149" max="150" width="7.25" style="7" bestFit="1" customWidth="1"/>
    <col min="151" max="151" width="6.5" style="7" customWidth="1"/>
    <col min="152" max="154" width="6.5" style="6" customWidth="1"/>
    <col min="155" max="16384" width="9" style="6"/>
  </cols>
  <sheetData>
    <row r="1" spans="1:151" ht="7.5" customHeight="1">
      <c r="A1" s="5"/>
    </row>
    <row r="2" spans="1:151" ht="10.5" customHeight="1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1"/>
      <c r="CM2" s="12"/>
    </row>
    <row r="3" spans="1:151" ht="10.5" customHeight="1">
      <c r="B3" s="13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6"/>
      <c r="CM3" s="17"/>
    </row>
    <row r="4" spans="1:151" ht="20.25" customHeight="1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6"/>
      <c r="CM4" s="17"/>
      <c r="CW4" s="18"/>
      <c r="CX4" s="18"/>
      <c r="CY4" s="18"/>
      <c r="CZ4" s="18"/>
      <c r="DA4" s="18"/>
      <c r="DB4" s="18"/>
      <c r="DC4" s="18"/>
      <c r="DD4" s="18"/>
    </row>
    <row r="5" spans="1:151" ht="15" customHeight="1">
      <c r="B5" s="399"/>
      <c r="C5" s="399"/>
      <c r="D5" s="19"/>
      <c r="E5" s="399"/>
      <c r="F5" s="399"/>
      <c r="G5" s="399"/>
      <c r="H5" s="399"/>
      <c r="I5" s="399"/>
      <c r="J5" s="399"/>
      <c r="K5" s="20"/>
      <c r="L5" s="399"/>
      <c r="M5" s="399"/>
      <c r="N5" s="399"/>
      <c r="O5" s="399"/>
      <c r="P5" s="399"/>
      <c r="Q5" s="399"/>
      <c r="R5" s="399"/>
      <c r="S5" s="399"/>
      <c r="T5" s="399"/>
      <c r="U5" s="399"/>
      <c r="V5" s="399"/>
      <c r="W5" s="399"/>
      <c r="X5" s="399"/>
      <c r="Y5" s="399"/>
      <c r="Z5" s="399"/>
      <c r="AA5" s="399"/>
      <c r="AB5" s="399"/>
      <c r="AC5" s="399"/>
      <c r="AD5" s="399"/>
      <c r="AE5" s="399"/>
      <c r="AF5" s="399"/>
      <c r="AG5" s="399"/>
      <c r="AH5" s="399"/>
      <c r="AI5" s="399"/>
      <c r="AJ5" s="399"/>
      <c r="AK5" s="399"/>
      <c r="AL5" s="399"/>
      <c r="AM5" s="399"/>
      <c r="AN5" s="399"/>
      <c r="AO5" s="399"/>
      <c r="AP5" s="399"/>
      <c r="AQ5" s="399"/>
      <c r="AR5" s="399"/>
      <c r="AS5" s="399"/>
      <c r="AT5" s="399"/>
      <c r="AU5" s="399"/>
      <c r="AV5" s="399"/>
      <c r="AW5" s="426"/>
      <c r="AX5" s="426"/>
      <c r="AY5" s="426"/>
      <c r="AZ5" s="426"/>
      <c r="BA5" s="426"/>
      <c r="BB5" s="426"/>
      <c r="BC5" s="426"/>
      <c r="BD5" s="426"/>
      <c r="BE5" s="426"/>
      <c r="BF5" s="426"/>
      <c r="BG5" s="426"/>
      <c r="BH5" s="426"/>
      <c r="BI5" s="426"/>
      <c r="BJ5" s="399"/>
      <c r="BK5" s="399"/>
      <c r="BL5" s="399"/>
      <c r="BM5" s="399"/>
      <c r="BN5" s="399"/>
      <c r="BO5" s="399"/>
      <c r="BP5" s="399"/>
      <c r="BQ5" s="399"/>
      <c r="BR5" s="399"/>
      <c r="BS5" s="399"/>
      <c r="BT5" s="399"/>
      <c r="BU5" s="39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21"/>
      <c r="CM5" s="17"/>
      <c r="CW5" s="18"/>
      <c r="CX5" s="18"/>
      <c r="CY5" s="18"/>
      <c r="CZ5" s="18"/>
      <c r="DA5" s="18"/>
      <c r="DB5" s="18"/>
      <c r="DC5" s="18"/>
      <c r="DD5" s="18"/>
    </row>
    <row r="6" spans="1:151" ht="10.5" customHeight="1">
      <c r="B6" s="22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5"/>
      <c r="CM6" s="17"/>
      <c r="CS6" s="5"/>
      <c r="CT6" s="5"/>
      <c r="CU6" s="5"/>
      <c r="CV6" s="5"/>
      <c r="CW6" s="18"/>
      <c r="CX6" s="18"/>
      <c r="CY6" s="18"/>
      <c r="CZ6" s="18"/>
      <c r="DA6" s="18"/>
      <c r="DB6" s="18"/>
      <c r="DC6" s="18"/>
      <c r="DD6" s="18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</row>
    <row r="7" spans="1:151" ht="10.5" customHeight="1">
      <c r="B7" s="13"/>
      <c r="C7" s="393" t="s">
        <v>135</v>
      </c>
      <c r="D7" s="394"/>
      <c r="E7" s="394"/>
      <c r="F7" s="394"/>
      <c r="G7" s="394"/>
      <c r="H7" s="394"/>
      <c r="I7" s="395"/>
      <c r="J7" s="14"/>
      <c r="K7" s="27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9"/>
      <c r="CL7" s="16"/>
      <c r="CM7" s="17"/>
      <c r="CS7" s="5"/>
      <c r="CT7" s="5"/>
      <c r="CU7" s="5"/>
      <c r="CV7" s="5"/>
      <c r="CW7" s="18"/>
      <c r="CX7" s="18"/>
      <c r="CY7" s="18"/>
      <c r="CZ7" s="18"/>
      <c r="DA7" s="18"/>
      <c r="DB7" s="18"/>
      <c r="DC7" s="18"/>
      <c r="DD7" s="18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</row>
    <row r="8" spans="1:151" ht="10.5" customHeight="1">
      <c r="B8" s="13"/>
      <c r="C8" s="396"/>
      <c r="D8" s="397"/>
      <c r="E8" s="397"/>
      <c r="F8" s="397"/>
      <c r="G8" s="397"/>
      <c r="H8" s="397"/>
      <c r="I8" s="398"/>
      <c r="J8" s="14"/>
      <c r="K8" s="30"/>
      <c r="L8" s="31"/>
      <c r="M8" s="427" t="s">
        <v>226</v>
      </c>
      <c r="N8" s="427"/>
      <c r="O8" s="427"/>
      <c r="P8" s="427"/>
      <c r="Q8" s="427"/>
      <c r="R8" s="427"/>
      <c r="S8" s="427"/>
      <c r="T8" s="427"/>
      <c r="U8" s="427"/>
      <c r="V8" s="427"/>
      <c r="W8" s="427"/>
      <c r="X8" s="427"/>
      <c r="Y8" s="427"/>
      <c r="Z8" s="427"/>
      <c r="AA8" s="427"/>
      <c r="AB8" s="224"/>
      <c r="AC8" s="224"/>
      <c r="AD8" s="224"/>
      <c r="AE8" s="224"/>
      <c r="AF8" s="224"/>
      <c r="AG8" s="224"/>
      <c r="AH8" s="224"/>
      <c r="AI8" s="224"/>
      <c r="AJ8" s="224"/>
      <c r="AK8" s="224"/>
      <c r="AL8" s="224"/>
      <c r="AM8" s="224"/>
      <c r="AN8" s="224"/>
      <c r="AO8" s="224"/>
      <c r="AP8" s="224"/>
      <c r="AQ8" s="224"/>
      <c r="AR8" s="224"/>
      <c r="AS8" s="224"/>
      <c r="AT8" s="224"/>
      <c r="AU8" s="224"/>
      <c r="AV8" s="224"/>
      <c r="AW8" s="224"/>
      <c r="AX8" s="224"/>
      <c r="AY8" s="427" t="s">
        <v>494</v>
      </c>
      <c r="AZ8" s="427"/>
      <c r="BA8" s="427"/>
      <c r="BB8" s="427"/>
      <c r="BC8" s="427"/>
      <c r="BD8" s="427"/>
      <c r="BE8" s="427"/>
      <c r="BF8" s="427"/>
      <c r="BG8" s="427"/>
      <c r="BH8" s="427"/>
      <c r="BI8" s="427"/>
      <c r="BJ8" s="427"/>
      <c r="BK8" s="427"/>
      <c r="BL8" s="427"/>
      <c r="BM8" s="427"/>
      <c r="BN8" s="427"/>
      <c r="BO8" s="427"/>
      <c r="BP8" s="224"/>
      <c r="BQ8" s="224"/>
      <c r="BR8" s="224"/>
      <c r="BS8" s="224"/>
      <c r="BT8" s="224"/>
      <c r="BU8" s="224"/>
      <c r="BV8" s="224"/>
      <c r="BW8" s="224"/>
      <c r="BX8" s="224"/>
      <c r="BY8" s="224"/>
      <c r="BZ8" s="224"/>
      <c r="CA8" s="224"/>
      <c r="CB8" s="224"/>
      <c r="CC8" s="224"/>
      <c r="CD8" s="224"/>
      <c r="CE8" s="224"/>
      <c r="CF8" s="224"/>
      <c r="CG8" s="224"/>
      <c r="CH8" s="224"/>
      <c r="CI8" s="224"/>
      <c r="CJ8" s="31"/>
      <c r="CK8" s="33"/>
      <c r="CL8" s="16"/>
      <c r="CM8" s="17"/>
      <c r="CS8" s="5"/>
      <c r="CT8" s="5"/>
      <c r="CU8" s="5"/>
      <c r="CV8" s="5"/>
      <c r="CW8" s="18"/>
      <c r="CX8" s="18"/>
      <c r="CY8" s="18"/>
      <c r="CZ8" s="18"/>
      <c r="DA8" s="18"/>
      <c r="DB8" s="18"/>
      <c r="DC8" s="18"/>
      <c r="DD8" s="18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</row>
    <row r="9" spans="1:151" ht="10.5" customHeight="1">
      <c r="B9" s="34"/>
      <c r="C9" s="400" t="s">
        <v>228</v>
      </c>
      <c r="D9" s="401"/>
      <c r="E9" s="401"/>
      <c r="F9" s="401"/>
      <c r="G9" s="401"/>
      <c r="H9" s="401"/>
      <c r="I9" s="402"/>
      <c r="J9" s="36"/>
      <c r="K9" s="30"/>
      <c r="L9" s="31"/>
      <c r="M9" s="427"/>
      <c r="N9" s="427"/>
      <c r="O9" s="427"/>
      <c r="P9" s="427"/>
      <c r="Q9" s="427"/>
      <c r="R9" s="427"/>
      <c r="S9" s="427"/>
      <c r="T9" s="427"/>
      <c r="U9" s="427"/>
      <c r="V9" s="427"/>
      <c r="W9" s="427"/>
      <c r="X9" s="427"/>
      <c r="Y9" s="427"/>
      <c r="Z9" s="427"/>
      <c r="AA9" s="427"/>
      <c r="AB9" s="224"/>
      <c r="AC9" s="224"/>
      <c r="AD9" s="224"/>
      <c r="AE9" s="224"/>
      <c r="AF9" s="224"/>
      <c r="AG9" s="224"/>
      <c r="AH9" s="225"/>
      <c r="AI9" s="225"/>
      <c r="AJ9" s="226"/>
      <c r="AK9" s="226"/>
      <c r="AL9" s="226"/>
      <c r="AM9" s="226"/>
      <c r="AN9" s="226"/>
      <c r="AO9" s="224"/>
      <c r="AP9" s="224"/>
      <c r="AQ9" s="224"/>
      <c r="AR9" s="224"/>
      <c r="AS9" s="224"/>
      <c r="AT9" s="224"/>
      <c r="AU9" s="224"/>
      <c r="AV9" s="224"/>
      <c r="AW9" s="224"/>
      <c r="AX9" s="224"/>
      <c r="AY9" s="427"/>
      <c r="AZ9" s="427"/>
      <c r="BA9" s="427"/>
      <c r="BB9" s="427"/>
      <c r="BC9" s="427"/>
      <c r="BD9" s="427"/>
      <c r="BE9" s="427"/>
      <c r="BF9" s="427"/>
      <c r="BG9" s="427"/>
      <c r="BH9" s="427"/>
      <c r="BI9" s="427"/>
      <c r="BJ9" s="427"/>
      <c r="BK9" s="427"/>
      <c r="BL9" s="427"/>
      <c r="BM9" s="427"/>
      <c r="BN9" s="427"/>
      <c r="BO9" s="427"/>
      <c r="BP9" s="224"/>
      <c r="BQ9" s="224"/>
      <c r="BR9" s="224"/>
      <c r="BS9" s="224"/>
      <c r="BT9" s="224"/>
      <c r="BU9" s="224"/>
      <c r="BV9" s="224"/>
      <c r="BW9" s="224"/>
      <c r="BX9" s="224"/>
      <c r="BY9" s="224"/>
      <c r="BZ9" s="224"/>
      <c r="CA9" s="224"/>
      <c r="CB9" s="224"/>
      <c r="CC9" s="224"/>
      <c r="CD9" s="224"/>
      <c r="CE9" s="224"/>
      <c r="CF9" s="224"/>
      <c r="CG9" s="224"/>
      <c r="CH9" s="224"/>
      <c r="CI9" s="224"/>
      <c r="CJ9" s="31"/>
      <c r="CK9" s="33"/>
      <c r="CL9" s="16"/>
      <c r="CM9" s="17"/>
      <c r="CS9" s="5"/>
      <c r="CT9" s="37"/>
      <c r="CU9" s="37"/>
      <c r="CV9" s="37"/>
      <c r="CW9" s="18"/>
      <c r="CX9" s="18"/>
      <c r="CY9" s="18"/>
      <c r="CZ9" s="18"/>
      <c r="DA9" s="18"/>
      <c r="DB9" s="18"/>
      <c r="DC9" s="18"/>
      <c r="DD9" s="18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</row>
    <row r="10" spans="1:151" ht="10.5" customHeight="1">
      <c r="B10" s="34"/>
      <c r="C10" s="403"/>
      <c r="D10" s="404"/>
      <c r="E10" s="404"/>
      <c r="F10" s="404"/>
      <c r="G10" s="404"/>
      <c r="H10" s="404"/>
      <c r="I10" s="405"/>
      <c r="J10" s="38"/>
      <c r="K10" s="39"/>
      <c r="L10" s="40"/>
      <c r="M10" s="427"/>
      <c r="N10" s="427"/>
      <c r="O10" s="427"/>
      <c r="P10" s="427"/>
      <c r="Q10" s="427"/>
      <c r="R10" s="427"/>
      <c r="S10" s="427"/>
      <c r="T10" s="427"/>
      <c r="U10" s="427"/>
      <c r="V10" s="427"/>
      <c r="W10" s="427"/>
      <c r="X10" s="427"/>
      <c r="Y10" s="427"/>
      <c r="Z10" s="427"/>
      <c r="AA10" s="427"/>
      <c r="AB10" s="227"/>
      <c r="AC10" s="227"/>
      <c r="AD10" s="227"/>
      <c r="AE10" s="227"/>
      <c r="AF10" s="227"/>
      <c r="AG10" s="227"/>
      <c r="AH10" s="225"/>
      <c r="AI10" s="225"/>
      <c r="AJ10" s="226"/>
      <c r="AK10" s="226"/>
      <c r="AL10" s="226"/>
      <c r="AM10" s="226"/>
      <c r="AN10" s="226"/>
      <c r="AO10" s="228"/>
      <c r="AP10" s="228"/>
      <c r="AQ10" s="228"/>
      <c r="AR10" s="228"/>
      <c r="AS10" s="228"/>
      <c r="AT10" s="228"/>
      <c r="AU10" s="227"/>
      <c r="AV10" s="227"/>
      <c r="AW10" s="228"/>
      <c r="AX10" s="228"/>
      <c r="AY10" s="427"/>
      <c r="AZ10" s="427"/>
      <c r="BA10" s="427"/>
      <c r="BB10" s="427"/>
      <c r="BC10" s="427"/>
      <c r="BD10" s="427"/>
      <c r="BE10" s="427"/>
      <c r="BF10" s="427"/>
      <c r="BG10" s="427"/>
      <c r="BH10" s="427"/>
      <c r="BI10" s="427"/>
      <c r="BJ10" s="427"/>
      <c r="BK10" s="427"/>
      <c r="BL10" s="427"/>
      <c r="BM10" s="427"/>
      <c r="BN10" s="427"/>
      <c r="BO10" s="427"/>
      <c r="BP10" s="227"/>
      <c r="BQ10" s="227"/>
      <c r="BR10" s="227"/>
      <c r="BS10" s="227"/>
      <c r="BT10" s="227"/>
      <c r="BU10" s="227"/>
      <c r="BV10" s="227"/>
      <c r="BW10" s="227"/>
      <c r="BX10" s="227"/>
      <c r="BY10" s="227"/>
      <c r="BZ10" s="227"/>
      <c r="CA10" s="227"/>
      <c r="CB10" s="227"/>
      <c r="CC10" s="227"/>
      <c r="CD10" s="227"/>
      <c r="CE10" s="227"/>
      <c r="CF10" s="227"/>
      <c r="CG10" s="227"/>
      <c r="CH10" s="227"/>
      <c r="CI10" s="227"/>
      <c r="CJ10" s="42"/>
      <c r="CK10" s="44"/>
      <c r="CL10" s="45"/>
      <c r="CM10" s="17"/>
      <c r="CS10" s="5"/>
      <c r="CT10" s="26"/>
      <c r="CU10" s="46"/>
      <c r="CV10" s="26"/>
      <c r="CW10" s="18"/>
      <c r="CX10" s="18"/>
      <c r="CY10" s="18"/>
      <c r="CZ10" s="18"/>
      <c r="DA10" s="18"/>
      <c r="DB10" s="18"/>
      <c r="DC10" s="18"/>
      <c r="DD10" s="18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47"/>
      <c r="DP10" s="47"/>
      <c r="DQ10" s="47"/>
      <c r="DR10" s="47"/>
      <c r="DS10" s="47"/>
      <c r="DT10" s="47"/>
      <c r="DU10" s="47"/>
      <c r="DV10" s="47"/>
      <c r="DW10" s="47"/>
      <c r="DX10" s="47"/>
      <c r="DY10" s="47"/>
      <c r="DZ10" s="47"/>
      <c r="EA10" s="47"/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47"/>
      <c r="ER10" s="47"/>
      <c r="ES10" s="47"/>
      <c r="ET10" s="47"/>
      <c r="EU10" s="46"/>
    </row>
    <row r="11" spans="1:151" ht="10.5" customHeight="1">
      <c r="B11" s="34"/>
      <c r="C11" s="418" t="s">
        <v>137</v>
      </c>
      <c r="D11" s="419"/>
      <c r="E11" s="420"/>
      <c r="F11" s="418" t="s">
        <v>139</v>
      </c>
      <c r="G11" s="419"/>
      <c r="H11" s="419"/>
      <c r="I11" s="420"/>
      <c r="J11" s="38"/>
      <c r="K11" s="39"/>
      <c r="L11" s="40"/>
      <c r="M11" s="32"/>
      <c r="N11" s="40"/>
      <c r="O11" s="32"/>
      <c r="P11" s="40"/>
      <c r="Q11" s="40"/>
      <c r="R11" s="41"/>
      <c r="S11" s="41"/>
      <c r="T11" s="41"/>
      <c r="U11" s="41"/>
      <c r="V11" s="41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J11" s="35"/>
      <c r="AK11" s="35"/>
      <c r="AL11" s="35"/>
      <c r="AM11" s="35"/>
      <c r="AN11" s="35"/>
      <c r="AO11" s="48"/>
      <c r="AP11" s="48"/>
      <c r="AQ11" s="48"/>
      <c r="AR11" s="48"/>
      <c r="AS11" s="48"/>
      <c r="AT11" s="48"/>
      <c r="AU11" s="40"/>
      <c r="AV11" s="40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0"/>
      <c r="BP11" s="40"/>
      <c r="BQ11" s="43"/>
      <c r="BR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42"/>
      <c r="CK11" s="44"/>
      <c r="CL11" s="45"/>
      <c r="CM11" s="17"/>
      <c r="CS11" s="5"/>
      <c r="CT11" s="26"/>
      <c r="CU11" s="46"/>
      <c r="CV11" s="26"/>
      <c r="CW11" s="18"/>
      <c r="CX11" s="18"/>
      <c r="CY11" s="18"/>
      <c r="CZ11" s="18"/>
      <c r="DA11" s="18"/>
      <c r="DB11" s="18"/>
      <c r="DC11" s="18"/>
      <c r="DD11" s="18"/>
      <c r="DE11" s="49"/>
      <c r="DF11" s="49"/>
      <c r="DG11" s="49"/>
      <c r="DH11" s="49"/>
      <c r="DI11" s="49"/>
      <c r="DJ11" s="49"/>
      <c r="DK11" s="49"/>
      <c r="DL11" s="49"/>
      <c r="DM11" s="49"/>
      <c r="DN11" s="49"/>
      <c r="DO11" s="49"/>
      <c r="DP11" s="49"/>
      <c r="DQ11" s="49"/>
      <c r="DR11" s="49"/>
      <c r="DS11" s="49"/>
      <c r="DT11" s="49"/>
      <c r="DU11" s="49"/>
      <c r="DV11" s="49"/>
      <c r="DW11" s="49"/>
      <c r="DX11" s="49"/>
      <c r="DY11" s="49"/>
      <c r="DZ11" s="49"/>
      <c r="EA11" s="49"/>
      <c r="EB11" s="49"/>
      <c r="EC11" s="49"/>
      <c r="ED11" s="49"/>
      <c r="EE11" s="49"/>
      <c r="EF11" s="49"/>
      <c r="EG11" s="49"/>
      <c r="EH11" s="49"/>
      <c r="EI11" s="49"/>
      <c r="EJ11" s="49"/>
      <c r="EK11" s="49"/>
      <c r="EL11" s="49"/>
      <c r="EM11" s="49"/>
      <c r="EN11" s="49"/>
      <c r="EO11" s="49"/>
      <c r="EP11" s="49"/>
      <c r="EQ11" s="49"/>
      <c r="ER11" s="49"/>
      <c r="ES11" s="49"/>
      <c r="ET11" s="49"/>
      <c r="EU11" s="46"/>
    </row>
    <row r="12" spans="1:151" ht="10.5" customHeight="1">
      <c r="B12" s="34"/>
      <c r="C12" s="421">
        <f>IFERROR(CZ36,"-")</f>
        <v>17.397028563999182</v>
      </c>
      <c r="D12" s="422"/>
      <c r="E12" s="423"/>
      <c r="F12" s="421">
        <f>IFERROR(CZ33+CZ34,"-")</f>
        <v>14.652288551362266</v>
      </c>
      <c r="G12" s="422"/>
      <c r="H12" s="422"/>
      <c r="I12" s="423"/>
      <c r="J12" s="38"/>
      <c r="K12" s="39"/>
      <c r="L12" s="40"/>
      <c r="M12" s="40"/>
      <c r="N12" s="40"/>
      <c r="O12" s="40"/>
      <c r="P12" s="264" t="s">
        <v>245</v>
      </c>
      <c r="Q12" s="40"/>
      <c r="R12" s="41"/>
      <c r="S12" s="41"/>
      <c r="T12" s="41"/>
      <c r="U12" s="41"/>
      <c r="V12" s="41"/>
      <c r="W12" s="40"/>
      <c r="X12" s="40"/>
      <c r="Y12" s="43"/>
      <c r="Z12" s="43"/>
      <c r="AA12" s="43"/>
      <c r="AB12" s="43"/>
      <c r="AC12" s="43"/>
      <c r="AD12" s="43"/>
      <c r="AE12" s="40"/>
      <c r="AF12" s="40"/>
      <c r="AG12" s="40"/>
      <c r="AJ12" s="35"/>
      <c r="AK12" s="35"/>
      <c r="AL12" s="35"/>
      <c r="AM12" s="35"/>
      <c r="AN12" s="35"/>
      <c r="AO12" s="48"/>
      <c r="AP12" s="48"/>
      <c r="AQ12" s="48"/>
      <c r="AR12" s="48"/>
      <c r="AS12" s="48"/>
      <c r="AT12" s="48"/>
      <c r="AU12" s="40"/>
      <c r="AV12" s="40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2"/>
      <c r="BP12" s="42"/>
      <c r="BQ12" s="43"/>
      <c r="BR12" s="48"/>
      <c r="BS12" s="264" t="str">
        <f>IF(flgTreat,"Water Treatment","")</f>
        <v/>
      </c>
      <c r="BT12" s="48"/>
      <c r="BU12" s="48"/>
      <c r="BV12" s="48"/>
      <c r="BW12" s="48"/>
      <c r="BX12" s="48"/>
      <c r="BY12" s="48"/>
      <c r="BZ12" s="48"/>
      <c r="CA12" s="42"/>
      <c r="CB12" s="48"/>
      <c r="CC12" s="48"/>
      <c r="CD12" s="48"/>
      <c r="CE12" s="48"/>
      <c r="CF12" s="48"/>
      <c r="CG12" s="48"/>
      <c r="CH12" s="48"/>
      <c r="CI12" s="48"/>
      <c r="CJ12" s="42"/>
      <c r="CK12" s="44"/>
      <c r="CL12" s="45"/>
      <c r="CM12" s="17"/>
      <c r="CS12" s="5"/>
      <c r="CT12" s="26"/>
      <c r="CU12" s="46"/>
      <c r="CV12" s="26"/>
      <c r="CW12" s="18"/>
      <c r="CX12" s="18"/>
      <c r="CY12" s="18"/>
      <c r="CZ12" s="18"/>
      <c r="DA12" s="18"/>
      <c r="DB12" s="18"/>
      <c r="DC12" s="18"/>
      <c r="DD12" s="18"/>
      <c r="DE12" s="50"/>
      <c r="DF12" s="50"/>
      <c r="DG12" s="50"/>
      <c r="DH12" s="50"/>
      <c r="DI12" s="50"/>
      <c r="DJ12" s="50"/>
      <c r="DK12" s="50"/>
      <c r="DL12" s="50"/>
      <c r="DM12" s="50"/>
      <c r="DN12" s="50"/>
      <c r="DO12" s="50"/>
      <c r="DP12" s="50"/>
      <c r="DQ12" s="50"/>
      <c r="DR12" s="50"/>
      <c r="DS12" s="50"/>
      <c r="DT12" s="50"/>
      <c r="DU12" s="50"/>
      <c r="DV12" s="50"/>
      <c r="DW12" s="50"/>
      <c r="DX12" s="50"/>
      <c r="DY12" s="50"/>
      <c r="DZ12" s="50"/>
      <c r="EA12" s="50"/>
      <c r="EB12" s="50"/>
      <c r="EC12" s="50"/>
      <c r="ED12" s="50"/>
      <c r="EE12" s="50"/>
      <c r="EF12" s="50"/>
      <c r="EG12" s="50"/>
      <c r="EH12" s="50"/>
      <c r="EI12" s="50"/>
      <c r="EJ12" s="50"/>
      <c r="EK12" s="50"/>
      <c r="EL12" s="50"/>
      <c r="EM12" s="50"/>
      <c r="EN12" s="50"/>
      <c r="EO12" s="50"/>
      <c r="EP12" s="50"/>
      <c r="EQ12" s="50"/>
      <c r="ER12" s="50"/>
      <c r="ES12" s="50"/>
      <c r="ET12" s="50"/>
      <c r="EU12" s="46"/>
    </row>
    <row r="13" spans="1:151" ht="10.5" customHeight="1">
      <c r="B13" s="34"/>
      <c r="C13" s="421"/>
      <c r="D13" s="422"/>
      <c r="E13" s="423"/>
      <c r="F13" s="421"/>
      <c r="G13" s="422"/>
      <c r="H13" s="422"/>
      <c r="I13" s="423"/>
      <c r="J13" s="38"/>
      <c r="K13" s="39"/>
      <c r="L13" s="40"/>
      <c r="M13" s="40"/>
      <c r="N13" s="40"/>
      <c r="O13" s="40"/>
      <c r="P13" s="40"/>
      <c r="Q13" s="40"/>
      <c r="R13" s="41"/>
      <c r="S13" s="31"/>
      <c r="T13" s="31"/>
      <c r="U13" s="31"/>
      <c r="V13" s="41"/>
      <c r="W13" s="40"/>
      <c r="X13" s="40"/>
      <c r="Y13" s="43"/>
      <c r="Z13" s="43"/>
      <c r="AA13" s="43"/>
      <c r="AB13" s="43"/>
      <c r="AC13" s="43"/>
      <c r="AD13" s="43"/>
      <c r="AE13" s="43"/>
      <c r="AF13" s="43"/>
      <c r="AG13" s="43"/>
      <c r="AJ13" s="35"/>
      <c r="AK13" s="35"/>
      <c r="AL13" s="35"/>
      <c r="AM13" s="35"/>
      <c r="AN13" s="35"/>
      <c r="AO13" s="43"/>
      <c r="AP13" s="43"/>
      <c r="AQ13" s="43"/>
      <c r="AR13" s="43"/>
      <c r="AS13" s="43"/>
      <c r="AT13" s="40"/>
      <c r="AU13" s="40"/>
      <c r="AV13" s="40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2"/>
      <c r="BP13" s="43"/>
      <c r="BQ13" s="43"/>
      <c r="BR13" s="48"/>
      <c r="BS13" s="48"/>
      <c r="BT13" s="48"/>
      <c r="BU13" s="48"/>
      <c r="BV13" s="48"/>
      <c r="BW13" s="48"/>
      <c r="BX13" s="48"/>
      <c r="BY13" s="48"/>
      <c r="BZ13" s="48"/>
      <c r="CA13" s="43"/>
      <c r="CB13" s="51"/>
      <c r="CC13" s="51"/>
      <c r="CD13" s="51"/>
      <c r="CE13" s="51"/>
      <c r="CF13" s="51"/>
      <c r="CG13" s="51"/>
      <c r="CH13" s="51"/>
      <c r="CI13" s="51"/>
      <c r="CJ13" s="42"/>
      <c r="CK13" s="44"/>
      <c r="CL13" s="45"/>
      <c r="CM13" s="17"/>
      <c r="CS13" s="5"/>
      <c r="CT13" s="26"/>
      <c r="CU13" s="46"/>
      <c r="CV13" s="52"/>
      <c r="CW13" s="18"/>
      <c r="CX13" s="18"/>
      <c r="CY13" s="18"/>
      <c r="CZ13" s="18"/>
      <c r="DA13" s="18"/>
      <c r="DB13" s="18"/>
      <c r="DC13" s="18"/>
      <c r="DD13" s="18"/>
      <c r="DE13" s="50"/>
      <c r="DF13" s="50"/>
      <c r="DG13" s="50"/>
      <c r="DH13" s="50"/>
      <c r="DI13" s="50"/>
      <c r="DJ13" s="50"/>
      <c r="DK13" s="50"/>
      <c r="DL13" s="50"/>
      <c r="DM13" s="50"/>
      <c r="DN13" s="50"/>
      <c r="DO13" s="50"/>
      <c r="DP13" s="50"/>
      <c r="DQ13" s="50"/>
      <c r="DR13" s="50"/>
      <c r="DS13" s="50"/>
      <c r="DT13" s="50"/>
      <c r="DU13" s="50"/>
      <c r="DV13" s="50"/>
      <c r="DW13" s="50"/>
      <c r="DX13" s="50"/>
      <c r="DY13" s="50"/>
      <c r="DZ13" s="50"/>
      <c r="EA13" s="50"/>
      <c r="EB13" s="50"/>
      <c r="EC13" s="50"/>
      <c r="ED13" s="50"/>
      <c r="EE13" s="50"/>
      <c r="EF13" s="50"/>
      <c r="EG13" s="50"/>
      <c r="EH13" s="50"/>
      <c r="EI13" s="50"/>
      <c r="EJ13" s="50"/>
      <c r="EK13" s="50"/>
      <c r="EL13" s="50"/>
      <c r="EM13" s="50"/>
      <c r="EN13" s="50"/>
      <c r="EO13" s="50"/>
      <c r="EP13" s="50"/>
      <c r="EQ13" s="50"/>
      <c r="ER13" s="50"/>
      <c r="ES13" s="50"/>
      <c r="ET13" s="50"/>
      <c r="EU13" s="46"/>
    </row>
    <row r="14" spans="1:151" ht="10.5" customHeight="1">
      <c r="B14" s="34"/>
      <c r="C14" s="162"/>
      <c r="D14" s="142"/>
      <c r="E14" s="142"/>
      <c r="F14" s="140"/>
      <c r="G14" s="140"/>
      <c r="H14" s="140"/>
      <c r="I14" s="163"/>
      <c r="J14" s="38"/>
      <c r="K14" s="39"/>
      <c r="L14" s="40"/>
      <c r="M14" s="40"/>
      <c r="N14" s="40"/>
      <c r="O14" s="40"/>
      <c r="P14" s="40"/>
      <c r="Q14" s="40"/>
      <c r="R14" s="41"/>
      <c r="S14" s="31"/>
      <c r="T14" s="31"/>
      <c r="U14" s="31"/>
      <c r="V14" s="41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J14" s="35"/>
      <c r="AK14" s="35"/>
      <c r="AL14" s="35"/>
      <c r="AM14" s="35"/>
      <c r="AN14" s="35"/>
      <c r="AO14" s="40"/>
      <c r="AP14" s="40"/>
      <c r="AQ14" s="40"/>
      <c r="AR14" s="40"/>
      <c r="AS14" s="40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0"/>
      <c r="BK14" s="43"/>
      <c r="BL14" s="43"/>
      <c r="BM14" s="35"/>
      <c r="BN14" s="266"/>
      <c r="BO14" s="1"/>
      <c r="BP14" s="1"/>
      <c r="BQ14" s="339"/>
      <c r="BR14" s="1"/>
      <c r="BS14" s="1"/>
      <c r="BT14" s="1"/>
      <c r="BU14" s="48"/>
      <c r="BV14" s="48"/>
      <c r="BW14" s="48"/>
      <c r="BX14" s="48"/>
      <c r="BY14" s="48"/>
      <c r="BZ14" s="48"/>
      <c r="CA14" s="42"/>
      <c r="CB14" s="51"/>
      <c r="CC14" s="51"/>
      <c r="CD14" s="51"/>
      <c r="CE14" s="51"/>
      <c r="CF14" s="51"/>
      <c r="CG14" s="51"/>
      <c r="CH14" s="51"/>
      <c r="CI14" s="51"/>
      <c r="CJ14" s="42"/>
      <c r="CK14" s="44"/>
      <c r="CL14" s="45"/>
      <c r="CM14" s="17"/>
      <c r="CS14" s="5"/>
      <c r="CT14" s="26"/>
      <c r="CU14" s="46"/>
      <c r="CV14" s="52"/>
      <c r="CW14" s="18"/>
      <c r="CX14" s="18"/>
      <c r="CY14" s="18"/>
      <c r="CZ14" s="18"/>
      <c r="DA14" s="18"/>
      <c r="DB14" s="18"/>
      <c r="DC14" s="18"/>
      <c r="DD14" s="18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53"/>
      <c r="DS14" s="53"/>
      <c r="DT14" s="53"/>
      <c r="DU14" s="53"/>
      <c r="DV14" s="53"/>
      <c r="DW14" s="53"/>
      <c r="DX14" s="53"/>
      <c r="DY14" s="53"/>
      <c r="DZ14" s="53"/>
      <c r="EA14" s="53"/>
      <c r="EB14" s="53"/>
      <c r="EC14" s="53"/>
      <c r="ED14" s="53"/>
      <c r="EE14" s="53"/>
      <c r="EF14" s="53"/>
      <c r="EG14" s="53"/>
      <c r="EH14" s="53"/>
      <c r="EI14" s="53"/>
      <c r="EJ14" s="53"/>
      <c r="EK14" s="53"/>
      <c r="EL14" s="53"/>
      <c r="EM14" s="53"/>
      <c r="EN14" s="53"/>
      <c r="EO14" s="53"/>
      <c r="EP14" s="53"/>
      <c r="EQ14" s="53"/>
      <c r="ER14" s="53"/>
      <c r="ES14" s="53"/>
      <c r="ET14" s="53"/>
      <c r="EU14" s="46"/>
    </row>
    <row r="15" spans="1:151" ht="10.5" customHeight="1">
      <c r="B15" s="34"/>
      <c r="C15" s="136"/>
      <c r="D15" s="143"/>
      <c r="E15" s="143"/>
      <c r="F15" s="143"/>
      <c r="G15" s="143"/>
      <c r="H15" s="143"/>
      <c r="I15" s="164"/>
      <c r="J15" s="38"/>
      <c r="K15" s="39"/>
      <c r="L15" s="40"/>
      <c r="M15" s="40"/>
      <c r="N15" s="40"/>
      <c r="O15" s="40"/>
      <c r="P15" s="43"/>
      <c r="Q15" s="43"/>
      <c r="R15" s="41"/>
      <c r="S15" s="41"/>
      <c r="T15" s="41"/>
      <c r="U15" s="41"/>
      <c r="V15" s="41"/>
      <c r="W15" s="43"/>
      <c r="X15" s="43"/>
      <c r="Y15" s="43"/>
      <c r="Z15" s="43"/>
      <c r="AA15" s="48"/>
      <c r="AB15" s="48"/>
      <c r="AC15" s="48"/>
      <c r="AD15" s="48"/>
      <c r="AE15" s="48"/>
      <c r="AF15" s="48"/>
      <c r="AG15" s="43"/>
      <c r="AJ15" s="35"/>
      <c r="AK15" s="35"/>
      <c r="AL15" s="35"/>
      <c r="AM15" s="35"/>
      <c r="AN15" s="35"/>
      <c r="AO15" s="40"/>
      <c r="AP15" s="40"/>
      <c r="AQ15" s="40"/>
      <c r="AR15" s="40"/>
      <c r="AS15" s="40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0"/>
      <c r="BH15" s="43"/>
      <c r="BI15" s="43"/>
      <c r="BJ15" s="43"/>
      <c r="BK15" s="43"/>
      <c r="BL15" s="43"/>
      <c r="BM15" s="35"/>
      <c r="BN15" s="266"/>
      <c r="BO15" s="1"/>
      <c r="BP15" s="1"/>
      <c r="BQ15" s="339"/>
      <c r="BR15" s="1"/>
      <c r="BS15" s="1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2"/>
      <c r="CK15" s="44"/>
      <c r="CL15" s="45"/>
      <c r="CM15" s="17"/>
      <c r="CS15" s="5"/>
      <c r="CT15" s="26"/>
      <c r="CU15" s="46"/>
      <c r="CV15" s="52"/>
      <c r="CW15" s="18"/>
      <c r="CX15" s="18"/>
      <c r="CY15" s="18"/>
      <c r="CZ15" s="18"/>
      <c r="DA15" s="18"/>
      <c r="DB15" s="18"/>
      <c r="DC15" s="18"/>
      <c r="DD15" s="18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</row>
    <row r="16" spans="1:151" ht="10.5" customHeight="1">
      <c r="B16" s="34"/>
      <c r="C16" s="137"/>
      <c r="D16" s="135"/>
      <c r="E16" s="135"/>
      <c r="F16" s="135"/>
      <c r="G16" s="135"/>
      <c r="H16" s="135"/>
      <c r="I16" s="165"/>
      <c r="J16" s="38"/>
      <c r="K16" s="39"/>
      <c r="L16" s="40"/>
      <c r="M16" s="40"/>
      <c r="N16" s="40"/>
      <c r="O16" s="40"/>
      <c r="P16" s="43"/>
      <c r="Q16" s="43"/>
      <c r="R16" s="41"/>
      <c r="S16" s="41"/>
      <c r="T16" s="41"/>
      <c r="U16" s="41"/>
      <c r="V16" s="41"/>
      <c r="W16" s="43"/>
      <c r="X16" s="43"/>
      <c r="Y16" s="40"/>
      <c r="Z16" s="40"/>
      <c r="AA16" s="48"/>
      <c r="AB16" s="48"/>
      <c r="AC16" s="48"/>
      <c r="AD16" s="48"/>
      <c r="AE16" s="48"/>
      <c r="AF16" s="48"/>
      <c r="AG16" s="43"/>
      <c r="AJ16" s="35"/>
      <c r="AK16" s="35"/>
      <c r="AL16" s="35"/>
      <c r="AM16" s="35"/>
      <c r="AN16" s="35"/>
      <c r="AO16" s="40"/>
      <c r="AP16" s="40"/>
      <c r="AQ16" s="40"/>
      <c r="AR16" s="40"/>
      <c r="AS16" s="40"/>
      <c r="AT16" s="43"/>
      <c r="AU16" s="43"/>
      <c r="AV16" s="43"/>
      <c r="AW16" s="43"/>
      <c r="AX16" s="43"/>
      <c r="AY16" s="43"/>
      <c r="AZ16" s="48"/>
      <c r="BA16" s="48"/>
      <c r="BB16" s="48"/>
      <c r="BC16" s="48"/>
      <c r="BD16" s="48"/>
      <c r="BE16" s="48"/>
      <c r="BF16" s="43"/>
      <c r="BG16" s="40"/>
      <c r="BH16" s="43"/>
      <c r="BI16" s="43"/>
      <c r="BJ16" s="43"/>
      <c r="BK16" s="43"/>
      <c r="BL16" s="43"/>
      <c r="BM16" s="35"/>
      <c r="BN16" s="42"/>
      <c r="BO16" s="42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2"/>
      <c r="CK16" s="44"/>
      <c r="CL16" s="45"/>
      <c r="CM16" s="17"/>
      <c r="CS16" s="5"/>
      <c r="CT16" s="26"/>
      <c r="CU16" s="46"/>
      <c r="CV16" s="52"/>
      <c r="CW16" s="18"/>
      <c r="CX16" s="18"/>
      <c r="CY16" s="18"/>
      <c r="CZ16" s="18"/>
      <c r="DA16" s="18"/>
      <c r="DB16" s="18"/>
      <c r="DC16" s="18"/>
      <c r="DD16" s="18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  <c r="EJ16" s="46"/>
      <c r="EK16" s="46"/>
      <c r="EL16" s="46"/>
      <c r="EM16" s="46"/>
      <c r="EN16" s="46"/>
      <c r="EO16" s="46"/>
      <c r="EP16" s="46"/>
      <c r="EQ16" s="46"/>
      <c r="ER16" s="46"/>
      <c r="ES16" s="46"/>
      <c r="ET16" s="46"/>
      <c r="EU16" s="46"/>
    </row>
    <row r="17" spans="2:151" ht="10.5" customHeight="1">
      <c r="B17" s="34"/>
      <c r="C17" s="406" t="s">
        <v>138</v>
      </c>
      <c r="D17" s="407"/>
      <c r="E17" s="407"/>
      <c r="F17" s="407"/>
      <c r="G17" s="407"/>
      <c r="H17" s="407"/>
      <c r="I17" s="408"/>
      <c r="J17" s="38"/>
      <c r="K17" s="39"/>
      <c r="L17" s="40"/>
      <c r="M17" s="40"/>
      <c r="N17" s="40"/>
      <c r="O17" s="40"/>
      <c r="P17" s="43"/>
      <c r="Q17" s="43"/>
      <c r="R17" s="41"/>
      <c r="S17" s="41"/>
      <c r="T17" s="41"/>
      <c r="U17" s="41"/>
      <c r="V17" s="41"/>
      <c r="W17" s="42"/>
      <c r="X17" s="42"/>
      <c r="Y17" s="40"/>
      <c r="Z17" s="40"/>
      <c r="AA17" s="43"/>
      <c r="AB17" s="43"/>
      <c r="AC17" s="43"/>
      <c r="AD17" s="43"/>
      <c r="AE17" s="43"/>
      <c r="AF17" s="43"/>
      <c r="AG17" s="43"/>
      <c r="AJ17" s="35"/>
      <c r="AK17" s="35"/>
      <c r="AL17" s="35"/>
      <c r="AM17" s="35"/>
      <c r="AN17" s="35"/>
      <c r="AO17" s="40"/>
      <c r="AP17" s="40"/>
      <c r="AQ17" s="40"/>
      <c r="AR17" s="40"/>
      <c r="AS17" s="40"/>
      <c r="AT17" s="43"/>
      <c r="AU17" s="43"/>
      <c r="AV17" s="43"/>
      <c r="AW17" s="43"/>
      <c r="AX17" s="43"/>
      <c r="AY17" s="43"/>
      <c r="AZ17" s="48"/>
      <c r="BA17" s="48"/>
      <c r="BB17" s="48"/>
      <c r="BC17" s="48"/>
      <c r="BD17" s="48"/>
      <c r="BE17" s="48"/>
      <c r="BF17" s="43"/>
      <c r="BG17" s="40"/>
      <c r="BH17" s="40"/>
      <c r="BI17" s="40"/>
      <c r="BJ17" s="40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271"/>
      <c r="BX17" s="271"/>
      <c r="BY17" s="271"/>
      <c r="BZ17" s="271"/>
      <c r="CA17" s="271"/>
      <c r="CB17" s="271"/>
      <c r="CC17" s="271"/>
      <c r="CD17" s="271"/>
      <c r="CE17" s="271"/>
      <c r="CF17" s="271"/>
      <c r="CG17" s="271"/>
      <c r="CH17" s="271"/>
      <c r="CI17" s="271"/>
      <c r="CJ17" s="42"/>
      <c r="CK17" s="44"/>
      <c r="CL17" s="45"/>
      <c r="CM17" s="17"/>
      <c r="CS17" s="5"/>
      <c r="CT17" s="26"/>
      <c r="CU17" s="46"/>
      <c r="CV17" s="52"/>
      <c r="CW17" s="18"/>
      <c r="CX17" s="18"/>
      <c r="CY17" s="18"/>
      <c r="CZ17" s="18"/>
      <c r="DA17" s="18"/>
      <c r="DB17" s="18"/>
      <c r="DC17" s="18"/>
      <c r="DD17" s="18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46"/>
      <c r="EG17" s="46"/>
      <c r="EH17" s="46"/>
      <c r="EI17" s="46"/>
      <c r="EJ17" s="46"/>
      <c r="EK17" s="46"/>
      <c r="EL17" s="46"/>
      <c r="EM17" s="46"/>
      <c r="EN17" s="46"/>
      <c r="EO17" s="46"/>
      <c r="EP17" s="46"/>
      <c r="EQ17" s="46"/>
      <c r="ER17" s="46"/>
      <c r="ES17" s="46"/>
      <c r="ET17" s="46"/>
      <c r="EU17" s="46"/>
    </row>
    <row r="18" spans="2:151" ht="10.5" customHeight="1">
      <c r="B18" s="34"/>
      <c r="C18" s="409"/>
      <c r="D18" s="410"/>
      <c r="E18" s="410"/>
      <c r="F18" s="410"/>
      <c r="G18" s="410"/>
      <c r="H18" s="410"/>
      <c r="I18" s="411"/>
      <c r="J18" s="38"/>
      <c r="K18" s="39"/>
      <c r="L18" s="40"/>
      <c r="M18" s="40"/>
      <c r="N18" s="40"/>
      <c r="O18" s="40"/>
      <c r="P18" s="43"/>
      <c r="Q18" s="43"/>
      <c r="R18" s="41"/>
      <c r="S18" s="41"/>
      <c r="T18" s="41"/>
      <c r="U18" s="41"/>
      <c r="V18" s="41"/>
      <c r="W18" s="42"/>
      <c r="X18" s="42"/>
      <c r="Y18" s="40"/>
      <c r="Z18" s="40"/>
      <c r="AA18" s="40"/>
      <c r="AB18" s="40"/>
      <c r="AC18" s="40"/>
      <c r="AD18" s="40"/>
      <c r="AE18" s="40"/>
      <c r="AF18" s="40"/>
      <c r="AG18" s="40"/>
      <c r="AJ18" s="35"/>
      <c r="AK18" s="35"/>
      <c r="AL18" s="35"/>
      <c r="AM18" s="35"/>
      <c r="AN18" s="35"/>
      <c r="AO18" s="43"/>
      <c r="AP18" s="43"/>
      <c r="AQ18" s="43"/>
      <c r="AR18" s="40"/>
      <c r="AS18" s="40"/>
      <c r="AT18" s="40"/>
      <c r="AU18" s="40"/>
      <c r="AV18" s="40"/>
      <c r="AW18" s="40"/>
      <c r="AX18" s="40"/>
      <c r="AY18" s="40"/>
      <c r="AZ18" s="40"/>
      <c r="BA18" s="43"/>
      <c r="BB18" s="43"/>
      <c r="BC18" s="43"/>
      <c r="BD18" s="43"/>
      <c r="BE18" s="43"/>
      <c r="BF18" s="43"/>
      <c r="BG18" s="40"/>
      <c r="BH18" s="40"/>
      <c r="BI18" s="40"/>
      <c r="BJ18" s="40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271"/>
      <c r="BX18" s="271"/>
      <c r="BY18" s="271"/>
      <c r="BZ18" s="271"/>
      <c r="CA18" s="272"/>
      <c r="CB18" s="272"/>
      <c r="CC18" s="272"/>
      <c r="CD18" s="272"/>
      <c r="CE18" s="272"/>
      <c r="CF18" s="272"/>
      <c r="CG18" s="271"/>
      <c r="CH18" s="271"/>
      <c r="CI18" s="271"/>
      <c r="CJ18" s="42"/>
      <c r="CK18" s="44"/>
      <c r="CL18" s="45"/>
      <c r="CM18" s="17"/>
      <c r="CS18" s="5"/>
      <c r="CT18" s="54"/>
      <c r="CU18" s="55"/>
      <c r="CV18" s="52"/>
      <c r="CW18" s="18"/>
      <c r="CX18" s="18"/>
      <c r="CY18" s="18"/>
      <c r="CZ18" s="18"/>
      <c r="DA18" s="18"/>
      <c r="DB18" s="18"/>
      <c r="DC18" s="18"/>
      <c r="DD18" s="18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</row>
    <row r="19" spans="2:151" ht="10.5" customHeight="1">
      <c r="B19" s="34"/>
      <c r="C19" s="428" t="s">
        <v>147</v>
      </c>
      <c r="D19" s="429"/>
      <c r="E19" s="429"/>
      <c r="F19" s="428" t="s">
        <v>259</v>
      </c>
      <c r="G19" s="429"/>
      <c r="H19" s="429"/>
      <c r="I19" s="430"/>
      <c r="J19" s="38"/>
      <c r="K19" s="39"/>
      <c r="L19" s="40"/>
      <c r="M19" s="43"/>
      <c r="N19" s="43"/>
      <c r="O19" s="43"/>
      <c r="P19" s="43"/>
      <c r="Q19" s="43"/>
      <c r="R19" s="41"/>
      <c r="S19" s="31"/>
      <c r="T19" s="31"/>
      <c r="U19" s="31"/>
      <c r="V19" s="41"/>
      <c r="W19" s="43"/>
      <c r="X19" s="43"/>
      <c r="Y19" s="40"/>
      <c r="Z19" s="40"/>
      <c r="AA19" s="40"/>
      <c r="AB19" s="40"/>
      <c r="AC19" s="40"/>
      <c r="AD19" s="40"/>
      <c r="AE19" s="40"/>
      <c r="AF19" s="40"/>
      <c r="AG19" s="40"/>
      <c r="AJ19" s="35"/>
      <c r="AK19" s="35"/>
      <c r="AL19" s="35"/>
      <c r="AM19" s="35"/>
      <c r="AN19" s="35"/>
      <c r="AO19" s="43"/>
      <c r="AP19" s="43"/>
      <c r="AQ19" s="43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271"/>
      <c r="BX19" s="271"/>
      <c r="BY19" s="271"/>
      <c r="CE19" s="271"/>
      <c r="CF19" s="271"/>
      <c r="CG19" s="271"/>
      <c r="CH19" s="271"/>
      <c r="CI19" s="271"/>
      <c r="CJ19" s="42"/>
      <c r="CK19" s="44"/>
      <c r="CL19" s="45"/>
      <c r="CM19" s="17"/>
      <c r="CS19" s="5"/>
      <c r="CT19" s="26"/>
      <c r="CU19" s="46"/>
      <c r="CV19" s="52"/>
      <c r="CW19" s="18"/>
      <c r="CX19" s="18"/>
      <c r="CY19" s="18"/>
      <c r="CZ19" s="18"/>
      <c r="DA19" s="18"/>
      <c r="DB19" s="18"/>
      <c r="DC19" s="18"/>
      <c r="DD19" s="18"/>
      <c r="DE19" s="56"/>
      <c r="DF19" s="56"/>
      <c r="DG19" s="56"/>
      <c r="DH19" s="56"/>
      <c r="DI19" s="56"/>
      <c r="DJ19" s="56"/>
      <c r="DK19" s="56"/>
      <c r="DL19" s="56"/>
      <c r="DM19" s="56"/>
      <c r="DN19" s="56"/>
      <c r="DO19" s="56"/>
      <c r="DP19" s="56"/>
      <c r="DQ19" s="56"/>
      <c r="DR19" s="56"/>
      <c r="DS19" s="56"/>
      <c r="DT19" s="56"/>
      <c r="DU19" s="56"/>
      <c r="DV19" s="56"/>
      <c r="DW19" s="56"/>
      <c r="DX19" s="56"/>
      <c r="DY19" s="56"/>
      <c r="DZ19" s="56"/>
      <c r="EA19" s="56"/>
      <c r="EB19" s="56"/>
      <c r="EC19" s="56"/>
      <c r="ED19" s="56"/>
      <c r="EE19" s="56"/>
      <c r="EF19" s="56"/>
      <c r="EG19" s="56"/>
      <c r="EH19" s="56"/>
      <c r="EI19" s="56"/>
      <c r="EJ19" s="56"/>
      <c r="EK19" s="56"/>
      <c r="EL19" s="56"/>
      <c r="EM19" s="56"/>
      <c r="EN19" s="56"/>
      <c r="EO19" s="56"/>
      <c r="EP19" s="56"/>
      <c r="EQ19" s="56"/>
      <c r="ER19" s="56"/>
      <c r="ES19" s="56"/>
      <c r="ET19" s="56"/>
      <c r="EU19" s="26"/>
    </row>
    <row r="20" spans="2:151" ht="10.5" customHeight="1">
      <c r="B20" s="34"/>
      <c r="C20" s="431">
        <f>CZ37</f>
        <v>18.575264853906795</v>
      </c>
      <c r="D20" s="432"/>
      <c r="E20" s="432"/>
      <c r="F20" s="431">
        <f>CZ38</f>
        <v>0.47303999999999991</v>
      </c>
      <c r="G20" s="432"/>
      <c r="H20" s="432"/>
      <c r="I20" s="433"/>
      <c r="J20" s="38"/>
      <c r="K20" s="39"/>
      <c r="L20" s="40"/>
      <c r="M20" s="43"/>
      <c r="N20" s="43"/>
      <c r="O20" s="43"/>
      <c r="P20" s="43"/>
      <c r="Q20" s="43"/>
      <c r="R20" s="41"/>
      <c r="S20" s="41"/>
      <c r="T20" s="41"/>
      <c r="U20" s="41"/>
      <c r="V20" s="41"/>
      <c r="W20" s="43"/>
      <c r="X20" s="43"/>
      <c r="Y20" s="40"/>
      <c r="Z20" s="40"/>
      <c r="AA20" s="40"/>
      <c r="AB20" s="40"/>
      <c r="AC20" s="40"/>
      <c r="AD20" s="40"/>
      <c r="AE20" s="40"/>
      <c r="AF20" s="40"/>
      <c r="AG20" s="40"/>
      <c r="AJ20" s="35"/>
      <c r="AK20" s="35"/>
      <c r="AL20" s="35"/>
      <c r="AM20" s="35"/>
      <c r="AN20" s="35"/>
      <c r="AO20" s="48"/>
      <c r="AP20" s="48"/>
      <c r="AQ20" s="48"/>
      <c r="AR20" s="48"/>
      <c r="AS20" s="43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271"/>
      <c r="BX20" s="271"/>
      <c r="BY20" s="271"/>
      <c r="BZ20" s="271"/>
      <c r="CA20" s="274"/>
      <c r="CB20" s="274"/>
      <c r="CC20" s="274"/>
      <c r="CD20" s="274"/>
      <c r="CE20" s="274"/>
      <c r="CF20" s="274"/>
      <c r="CG20" s="271"/>
      <c r="CH20" s="271"/>
      <c r="CI20" s="271"/>
      <c r="CJ20" s="42"/>
      <c r="CK20" s="44"/>
      <c r="CL20" s="45"/>
      <c r="CM20" s="17"/>
      <c r="CS20" s="5"/>
      <c r="CT20" s="243"/>
      <c r="CU20" s="46"/>
      <c r="CV20" s="52"/>
      <c r="CW20" s="244"/>
      <c r="CX20" s="18"/>
      <c r="CY20" s="18"/>
      <c r="CZ20" s="18"/>
      <c r="DA20" s="18"/>
      <c r="DB20" s="18"/>
      <c r="DC20" s="18"/>
      <c r="DD20" s="18"/>
      <c r="DE20" s="49"/>
      <c r="DF20" s="49"/>
      <c r="DG20" s="49"/>
      <c r="DH20" s="49"/>
      <c r="DI20" s="49"/>
      <c r="DJ20" s="49"/>
      <c r="DK20" s="49"/>
      <c r="DL20" s="49"/>
      <c r="DM20" s="49"/>
      <c r="DN20" s="49"/>
      <c r="DO20" s="49"/>
      <c r="DP20" s="49"/>
      <c r="DQ20" s="49"/>
      <c r="DR20" s="49"/>
      <c r="DS20" s="49"/>
      <c r="DT20" s="49"/>
      <c r="DU20" s="49"/>
      <c r="DV20" s="49"/>
      <c r="DW20" s="49"/>
      <c r="DX20" s="49"/>
      <c r="DY20" s="49"/>
      <c r="DZ20" s="49"/>
      <c r="EA20" s="49"/>
      <c r="EB20" s="49"/>
      <c r="EC20" s="49"/>
      <c r="ED20" s="49"/>
      <c r="EE20" s="49"/>
      <c r="EF20" s="49"/>
      <c r="EG20" s="49"/>
      <c r="EH20" s="49"/>
      <c r="EI20" s="49"/>
      <c r="EJ20" s="49"/>
      <c r="EK20" s="49"/>
      <c r="EL20" s="49"/>
      <c r="EM20" s="49"/>
      <c r="EN20" s="49"/>
      <c r="EO20" s="49"/>
      <c r="EP20" s="49"/>
      <c r="EQ20" s="49"/>
      <c r="ER20" s="49"/>
      <c r="ES20" s="49"/>
      <c r="ET20" s="49"/>
      <c r="EU20" s="26"/>
    </row>
    <row r="21" spans="2:151" ht="10.5" customHeight="1">
      <c r="B21" s="34"/>
      <c r="C21" s="431"/>
      <c r="D21" s="432"/>
      <c r="E21" s="432"/>
      <c r="F21" s="431"/>
      <c r="G21" s="432"/>
      <c r="H21" s="432"/>
      <c r="I21" s="433"/>
      <c r="J21" s="38"/>
      <c r="K21" s="39"/>
      <c r="L21" s="40"/>
      <c r="M21" s="40"/>
      <c r="N21" s="40"/>
      <c r="O21" s="40"/>
      <c r="P21" s="40"/>
      <c r="Q21" s="40"/>
      <c r="R21" s="41"/>
      <c r="S21" s="31"/>
      <c r="T21" s="31"/>
      <c r="U21" s="41"/>
      <c r="V21" s="41"/>
      <c r="W21" s="40"/>
      <c r="X21" s="40"/>
      <c r="Y21" s="40"/>
      <c r="Z21" s="40"/>
      <c r="AA21" s="40"/>
      <c r="AB21" s="40"/>
      <c r="AC21" s="40"/>
      <c r="AD21" s="40"/>
      <c r="AE21" s="40"/>
      <c r="AF21" s="43"/>
      <c r="AG21" s="43"/>
      <c r="AJ21" s="35"/>
      <c r="AK21" s="35"/>
      <c r="AL21" s="35"/>
      <c r="AM21" s="35"/>
      <c r="AN21" s="35"/>
      <c r="AO21" s="48"/>
      <c r="AP21" s="48"/>
      <c r="AQ21" s="48"/>
      <c r="AR21" s="48"/>
      <c r="AS21" s="43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271"/>
      <c r="BX21" s="271"/>
      <c r="BY21" s="271"/>
      <c r="BZ21" s="271"/>
      <c r="CA21" s="274"/>
      <c r="CB21" s="274"/>
      <c r="CC21" s="274"/>
      <c r="CD21" s="274"/>
      <c r="CE21" s="274"/>
      <c r="CF21" s="274"/>
      <c r="CG21" s="271"/>
      <c r="CH21" s="271"/>
      <c r="CI21" s="271"/>
      <c r="CJ21" s="42"/>
      <c r="CK21" s="44"/>
      <c r="CL21" s="45"/>
      <c r="CM21" s="17"/>
      <c r="CS21" s="5"/>
      <c r="CT21" s="26"/>
      <c r="CU21" s="46"/>
      <c r="CV21" s="26"/>
      <c r="CW21" s="18"/>
      <c r="CX21" s="18"/>
      <c r="CY21" s="18"/>
      <c r="CZ21" s="18"/>
      <c r="DA21" s="18"/>
      <c r="DB21" s="18"/>
      <c r="DC21" s="18"/>
      <c r="DD21" s="18"/>
      <c r="DE21" s="49"/>
      <c r="DF21" s="49"/>
      <c r="DG21" s="49"/>
      <c r="DH21" s="49"/>
      <c r="DI21" s="49"/>
      <c r="DJ21" s="49"/>
      <c r="DK21" s="49"/>
      <c r="DL21" s="49"/>
      <c r="DM21" s="49"/>
      <c r="DN21" s="49"/>
      <c r="DO21" s="49"/>
      <c r="DP21" s="49"/>
      <c r="DQ21" s="49"/>
      <c r="DR21" s="49"/>
      <c r="DS21" s="49"/>
      <c r="DT21" s="49"/>
      <c r="DU21" s="49"/>
      <c r="DV21" s="49"/>
      <c r="DW21" s="49"/>
      <c r="DX21" s="49"/>
      <c r="DY21" s="49"/>
      <c r="DZ21" s="49"/>
      <c r="EA21" s="49"/>
      <c r="EB21" s="49"/>
      <c r="EC21" s="49"/>
      <c r="ED21" s="49"/>
      <c r="EE21" s="49"/>
      <c r="EF21" s="49"/>
      <c r="EG21" s="49"/>
      <c r="EH21" s="49"/>
      <c r="EI21" s="49"/>
      <c r="EJ21" s="49"/>
      <c r="EK21" s="49"/>
      <c r="EL21" s="49"/>
      <c r="EM21" s="49"/>
      <c r="EN21" s="49"/>
      <c r="EO21" s="49"/>
      <c r="EP21" s="49"/>
      <c r="EQ21" s="49"/>
      <c r="ER21" s="49"/>
      <c r="ES21" s="49"/>
      <c r="ET21" s="49"/>
      <c r="EU21" s="26"/>
    </row>
    <row r="22" spans="2:151" ht="10.5" customHeight="1">
      <c r="B22" s="34"/>
      <c r="C22" s="138"/>
      <c r="D22" s="166"/>
      <c r="E22" s="166"/>
      <c r="F22" s="166"/>
      <c r="G22" s="166"/>
      <c r="H22" s="166"/>
      <c r="I22" s="167"/>
      <c r="J22" s="38"/>
      <c r="K22" s="39"/>
      <c r="L22" s="43"/>
      <c r="M22" s="43"/>
      <c r="N22" s="43"/>
      <c r="O22" s="43"/>
      <c r="P22" s="43"/>
      <c r="Q22" s="43"/>
      <c r="R22" s="41"/>
      <c r="S22" s="31"/>
      <c r="T22" s="31"/>
      <c r="U22" s="41"/>
      <c r="V22" s="41"/>
      <c r="W22" s="40"/>
      <c r="X22" s="40"/>
      <c r="Y22" s="40"/>
      <c r="Z22" s="40"/>
      <c r="AA22" s="40"/>
      <c r="AB22" s="40"/>
      <c r="AC22" s="40"/>
      <c r="AD22" s="40"/>
      <c r="AE22" s="40"/>
      <c r="AF22" s="43"/>
      <c r="AG22" s="43"/>
      <c r="AJ22" s="35"/>
      <c r="AK22" s="35"/>
      <c r="AL22" s="35"/>
      <c r="AM22" s="35"/>
      <c r="AN22" s="35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271"/>
      <c r="BX22" s="271"/>
      <c r="BY22" s="271"/>
      <c r="BZ22" s="271"/>
      <c r="CA22" s="271"/>
      <c r="CB22" s="271"/>
      <c r="CC22" s="271"/>
      <c r="CD22" s="271"/>
      <c r="CE22" s="271"/>
      <c r="CF22" s="271"/>
      <c r="CG22" s="271"/>
      <c r="CH22" s="271"/>
      <c r="CI22" s="271"/>
      <c r="CJ22" s="42"/>
      <c r="CK22" s="44"/>
      <c r="CL22" s="45"/>
      <c r="CM22" s="17"/>
      <c r="CS22" s="5"/>
      <c r="CT22" s="26"/>
      <c r="CU22" s="46"/>
      <c r="CV22" s="26"/>
      <c r="CW22" s="340"/>
      <c r="CX22" s="340"/>
      <c r="CY22" s="340"/>
      <c r="CZ22" s="340"/>
      <c r="DA22" s="340"/>
      <c r="DB22" s="340"/>
      <c r="DC22" s="340"/>
      <c r="DD22" s="18"/>
      <c r="DE22" s="49"/>
      <c r="DF22" s="49"/>
      <c r="DG22" s="49"/>
      <c r="DH22" s="49"/>
      <c r="DI22" s="49"/>
      <c r="DJ22" s="49"/>
      <c r="DK22" s="49"/>
      <c r="DL22" s="49"/>
      <c r="DM22" s="49"/>
      <c r="DN22" s="49"/>
      <c r="DO22" s="49"/>
      <c r="DP22" s="49"/>
      <c r="DQ22" s="49"/>
      <c r="DR22" s="49"/>
      <c r="DS22" s="49"/>
      <c r="DT22" s="49"/>
      <c r="DU22" s="49"/>
      <c r="DV22" s="49"/>
      <c r="DW22" s="49"/>
      <c r="DX22" s="49"/>
      <c r="DY22" s="49"/>
      <c r="DZ22" s="49"/>
      <c r="EA22" s="49"/>
      <c r="EB22" s="49"/>
      <c r="EC22" s="49"/>
      <c r="ED22" s="49"/>
      <c r="EE22" s="49"/>
      <c r="EF22" s="49"/>
      <c r="EG22" s="49"/>
      <c r="EH22" s="49"/>
      <c r="EI22" s="49"/>
      <c r="EJ22" s="49"/>
      <c r="EK22" s="49"/>
      <c r="EL22" s="49"/>
      <c r="EM22" s="49"/>
      <c r="EN22" s="49"/>
      <c r="EO22" s="49"/>
      <c r="EP22" s="49"/>
      <c r="EQ22" s="49"/>
      <c r="ER22" s="49"/>
      <c r="ES22" s="49"/>
      <c r="ET22" s="49"/>
      <c r="EU22" s="26"/>
    </row>
    <row r="23" spans="2:151" ht="10.5" customHeight="1">
      <c r="B23" s="34"/>
      <c r="C23" s="434" t="s">
        <v>398</v>
      </c>
      <c r="D23" s="435"/>
      <c r="E23" s="435"/>
      <c r="F23" s="435"/>
      <c r="G23" s="435"/>
      <c r="H23" s="435"/>
      <c r="I23" s="436"/>
      <c r="J23" s="38"/>
      <c r="K23" s="39"/>
      <c r="L23" s="48"/>
      <c r="M23" s="48"/>
      <c r="N23" s="48"/>
      <c r="O23" s="48"/>
      <c r="P23" s="48"/>
      <c r="Q23" s="48"/>
      <c r="R23" s="41"/>
      <c r="S23" s="31"/>
      <c r="T23" s="31"/>
      <c r="U23" s="41"/>
      <c r="V23" s="41"/>
      <c r="W23" s="43"/>
      <c r="X23" s="43"/>
      <c r="Y23" s="40"/>
      <c r="Z23" s="40"/>
      <c r="AA23" s="40"/>
      <c r="AB23" s="40"/>
      <c r="AC23" s="40"/>
      <c r="AD23" s="40"/>
      <c r="AE23" s="40"/>
      <c r="AF23" s="40"/>
      <c r="AG23" s="40"/>
      <c r="AJ23" s="35"/>
      <c r="AK23" s="35"/>
      <c r="AL23" s="35"/>
      <c r="AM23" s="35"/>
      <c r="AN23" s="35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271"/>
      <c r="BX23" s="271"/>
      <c r="BY23" s="271"/>
      <c r="BZ23" s="275"/>
      <c r="CA23" s="275"/>
      <c r="CB23" s="275"/>
      <c r="CC23" s="275"/>
      <c r="CD23" s="275"/>
      <c r="CE23" s="275"/>
      <c r="CF23" s="275"/>
      <c r="CG23" s="275"/>
      <c r="CH23" s="275"/>
      <c r="CI23" s="271"/>
      <c r="CJ23" s="42"/>
      <c r="CK23" s="44"/>
      <c r="CL23" s="45"/>
      <c r="CM23" s="17"/>
      <c r="CS23" s="5"/>
      <c r="CT23" s="26"/>
      <c r="CU23" s="46"/>
      <c r="CV23" s="26"/>
      <c r="CW23" s="340"/>
      <c r="CX23" s="340"/>
      <c r="CY23" s="340"/>
      <c r="CZ23" s="340"/>
      <c r="DA23" s="340"/>
      <c r="DB23" s="340"/>
      <c r="DC23" s="340"/>
      <c r="DD23" s="18"/>
      <c r="DE23" s="49"/>
      <c r="DF23" s="49"/>
      <c r="DG23" s="49"/>
      <c r="DH23" s="49"/>
      <c r="DI23" s="49"/>
      <c r="DJ23" s="49"/>
      <c r="DK23" s="49"/>
      <c r="DL23" s="49"/>
      <c r="DM23" s="49"/>
      <c r="DN23" s="49"/>
      <c r="DO23" s="49"/>
      <c r="DP23" s="49"/>
      <c r="DQ23" s="49"/>
      <c r="DR23" s="49"/>
      <c r="DS23" s="49"/>
      <c r="DT23" s="49"/>
      <c r="DU23" s="49"/>
      <c r="DV23" s="49"/>
      <c r="DW23" s="49"/>
      <c r="DX23" s="49"/>
      <c r="DY23" s="49"/>
      <c r="DZ23" s="49"/>
      <c r="EA23" s="49"/>
      <c r="EB23" s="49"/>
      <c r="EC23" s="49"/>
      <c r="ED23" s="49"/>
      <c r="EE23" s="49"/>
      <c r="EF23" s="49"/>
      <c r="EG23" s="49"/>
      <c r="EH23" s="49"/>
      <c r="EI23" s="49"/>
      <c r="EJ23" s="49"/>
      <c r="EK23" s="49"/>
      <c r="EL23" s="49"/>
      <c r="EM23" s="49"/>
      <c r="EN23" s="49"/>
      <c r="EO23" s="49"/>
      <c r="EP23" s="49"/>
      <c r="EQ23" s="49"/>
      <c r="ER23" s="49"/>
      <c r="ES23" s="49"/>
      <c r="ET23" s="49"/>
      <c r="EU23" s="26"/>
    </row>
    <row r="24" spans="2:151" ht="10.5" customHeight="1">
      <c r="B24" s="34"/>
      <c r="C24" s="437"/>
      <c r="D24" s="438"/>
      <c r="E24" s="438"/>
      <c r="F24" s="438"/>
      <c r="G24" s="438"/>
      <c r="H24" s="438"/>
      <c r="I24" s="439"/>
      <c r="J24" s="38"/>
      <c r="K24" s="57"/>
      <c r="L24" s="48"/>
      <c r="M24" s="48"/>
      <c r="N24" s="48"/>
      <c r="O24" s="48"/>
      <c r="P24" s="48"/>
      <c r="Q24" s="48"/>
      <c r="R24" s="41"/>
      <c r="S24" s="41"/>
      <c r="T24" s="41"/>
      <c r="U24" s="41"/>
      <c r="V24" s="41"/>
      <c r="W24" s="43"/>
      <c r="X24" s="43"/>
      <c r="Y24" s="40"/>
      <c r="Z24" s="40"/>
      <c r="AA24" s="40"/>
      <c r="AB24" s="40"/>
      <c r="AC24" s="40"/>
      <c r="AD24" s="40"/>
      <c r="AE24" s="40"/>
      <c r="AF24" s="43"/>
      <c r="AG24" s="43"/>
      <c r="AJ24" s="35"/>
      <c r="AK24" s="35"/>
      <c r="AL24" s="35"/>
      <c r="AM24" s="35"/>
      <c r="AN24" s="35"/>
      <c r="AO24" s="40"/>
      <c r="AP24" s="40"/>
      <c r="AQ24" s="40"/>
      <c r="AR24" s="40"/>
      <c r="AS24" s="40"/>
      <c r="AT24" s="40"/>
      <c r="AU24" s="40"/>
      <c r="AV24" s="40"/>
      <c r="AW24" s="40"/>
      <c r="AX24" s="43"/>
      <c r="AY24" s="43"/>
      <c r="AZ24" s="43"/>
      <c r="BA24" s="43"/>
      <c r="BB24" s="43"/>
      <c r="BC24" s="43"/>
      <c r="BD24" s="40"/>
      <c r="BE24" s="40"/>
      <c r="BF24" s="40"/>
      <c r="BG24" s="40"/>
      <c r="BH24" s="40"/>
      <c r="BI24" s="40"/>
      <c r="BJ24" s="40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271"/>
      <c r="BX24" s="271"/>
      <c r="BY24" s="271"/>
      <c r="BZ24" s="274"/>
      <c r="CA24" s="274"/>
      <c r="CB24" s="274"/>
      <c r="CC24" s="274"/>
      <c r="CD24" s="274"/>
      <c r="CE24" s="274"/>
      <c r="CF24" s="275"/>
      <c r="CG24" s="275"/>
      <c r="CH24" s="275"/>
      <c r="CI24" s="275"/>
      <c r="CJ24" s="43"/>
      <c r="CK24" s="58"/>
      <c r="CL24" s="45"/>
      <c r="CM24" s="17"/>
      <c r="CS24" s="5"/>
      <c r="CT24" s="26"/>
      <c r="CU24" s="46"/>
      <c r="CV24" s="26"/>
      <c r="CW24" s="340"/>
      <c r="CX24" s="340"/>
      <c r="CY24" s="340"/>
      <c r="CZ24" s="340"/>
      <c r="DA24" s="340"/>
      <c r="DB24" s="340"/>
      <c r="DC24" s="340"/>
      <c r="DD24" s="18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</row>
    <row r="25" spans="2:151" ht="10.5" customHeight="1">
      <c r="B25" s="34"/>
      <c r="C25" s="412" t="s">
        <v>136</v>
      </c>
      <c r="D25" s="413"/>
      <c r="E25" s="413"/>
      <c r="F25" s="413"/>
      <c r="G25" s="413"/>
      <c r="H25" s="413"/>
      <c r="I25" s="414"/>
      <c r="J25" s="38"/>
      <c r="K25" s="39"/>
      <c r="L25" s="43"/>
      <c r="M25" s="43"/>
      <c r="N25" s="43"/>
      <c r="O25" s="43"/>
      <c r="P25" s="43"/>
      <c r="Q25" s="43"/>
      <c r="R25" s="41"/>
      <c r="S25" s="41"/>
      <c r="T25" s="41"/>
      <c r="U25" s="41"/>
      <c r="V25" s="41"/>
      <c r="W25" s="43"/>
      <c r="X25" s="43"/>
      <c r="Y25" s="40"/>
      <c r="Z25" s="40"/>
      <c r="AA25" s="40"/>
      <c r="AB25" s="40"/>
      <c r="AC25" s="40"/>
      <c r="AD25" s="40"/>
      <c r="AE25" s="40"/>
      <c r="AF25" s="43"/>
      <c r="AG25" s="43"/>
      <c r="AJ25" s="35"/>
      <c r="AK25" s="35"/>
      <c r="AL25" s="35"/>
      <c r="AM25" s="35"/>
      <c r="AN25" s="35"/>
      <c r="AO25" s="40"/>
      <c r="AP25" s="40"/>
      <c r="AQ25" s="40"/>
      <c r="AR25" s="40"/>
      <c r="AS25" s="40"/>
      <c r="AT25" s="40"/>
      <c r="AU25" s="40"/>
      <c r="AV25" s="40"/>
      <c r="AW25" s="40"/>
      <c r="AX25" s="43"/>
      <c r="AY25" s="43"/>
      <c r="AZ25" s="43"/>
      <c r="BA25" s="43"/>
      <c r="BB25" s="43"/>
      <c r="BC25" s="43"/>
      <c r="BD25" s="40"/>
      <c r="BE25" s="40"/>
      <c r="BF25" s="40"/>
      <c r="BG25" s="40"/>
      <c r="BH25" s="40"/>
      <c r="BI25" s="40"/>
      <c r="BJ25" s="40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271"/>
      <c r="BX25" s="271"/>
      <c r="BY25" s="271"/>
      <c r="BZ25" s="274"/>
      <c r="CA25" s="274"/>
      <c r="CB25" s="274"/>
      <c r="CC25" s="274"/>
      <c r="CD25" s="274"/>
      <c r="CE25" s="274"/>
      <c r="CF25" s="275"/>
      <c r="CG25" s="275"/>
      <c r="CH25" s="275"/>
      <c r="CI25" s="275"/>
      <c r="CJ25" s="43"/>
      <c r="CK25" s="58"/>
      <c r="CL25" s="45"/>
      <c r="CM25" s="17"/>
      <c r="CS25" s="5"/>
      <c r="CT25" s="26"/>
      <c r="CU25" s="46"/>
      <c r="CV25" s="26"/>
      <c r="CW25" s="340"/>
      <c r="CX25" s="340"/>
      <c r="CY25" s="340"/>
      <c r="CZ25" s="340"/>
      <c r="DA25" s="340"/>
      <c r="DB25" s="340"/>
      <c r="DC25" s="340"/>
      <c r="DD25" s="18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</row>
    <row r="26" spans="2:151" ht="10.5" customHeight="1">
      <c r="B26" s="34"/>
      <c r="C26" s="415"/>
      <c r="D26" s="416"/>
      <c r="E26" s="416"/>
      <c r="F26" s="416"/>
      <c r="G26" s="416"/>
      <c r="H26" s="416"/>
      <c r="I26" s="417"/>
      <c r="J26" s="38"/>
      <c r="K26" s="39"/>
      <c r="L26" s="43"/>
      <c r="M26" s="43"/>
      <c r="N26" s="43"/>
      <c r="O26" s="43"/>
      <c r="P26" s="43"/>
      <c r="Q26" s="43"/>
      <c r="R26" s="41"/>
      <c r="S26" s="41"/>
      <c r="T26" s="41"/>
      <c r="U26" s="41"/>
      <c r="V26" s="41"/>
      <c r="W26" s="42"/>
      <c r="X26" s="42"/>
      <c r="Y26" s="40"/>
      <c r="Z26" s="40"/>
      <c r="AA26" s="40"/>
      <c r="AB26" s="40"/>
      <c r="AC26" s="40"/>
      <c r="AD26" s="40"/>
      <c r="AE26" s="40"/>
      <c r="AF26" s="43"/>
      <c r="AG26" s="43"/>
      <c r="AJ26" s="35"/>
      <c r="AK26" s="35"/>
      <c r="AL26" s="35"/>
      <c r="AM26" s="35"/>
      <c r="AN26" s="35"/>
      <c r="AO26" s="40"/>
      <c r="AP26" s="40"/>
      <c r="AQ26" s="40"/>
      <c r="AR26" s="40"/>
      <c r="AS26" s="40"/>
      <c r="AT26" s="40"/>
      <c r="AU26" s="43"/>
      <c r="AV26" s="43"/>
      <c r="AW26" s="43"/>
      <c r="AX26" s="43"/>
      <c r="AY26" s="43"/>
      <c r="AZ26" s="43"/>
      <c r="BA26" s="43"/>
      <c r="BB26" s="43"/>
      <c r="BC26" s="43"/>
      <c r="BD26" s="40"/>
      <c r="BE26" s="40"/>
      <c r="BF26" s="40"/>
      <c r="BG26" s="40"/>
      <c r="BH26" s="40"/>
      <c r="BI26" s="40"/>
      <c r="BJ26" s="40"/>
      <c r="BK26" s="42"/>
      <c r="BL26" s="42"/>
      <c r="BM26" s="42"/>
      <c r="BN26" s="42"/>
      <c r="BO26" s="43"/>
      <c r="BP26" s="43"/>
      <c r="BQ26" s="43"/>
      <c r="BR26" s="43"/>
      <c r="BS26" s="43"/>
      <c r="BT26" s="43"/>
      <c r="BU26" s="42"/>
      <c r="BV26" s="42"/>
      <c r="BW26" s="271"/>
      <c r="BX26" s="271"/>
      <c r="BY26" s="271"/>
      <c r="BZ26" s="275"/>
      <c r="CA26" s="275"/>
      <c r="CC26" s="275"/>
      <c r="CD26" s="275"/>
      <c r="CE26" s="275"/>
      <c r="CF26" s="275"/>
      <c r="CG26" s="275"/>
      <c r="CH26" s="275"/>
      <c r="CI26" s="275"/>
      <c r="CJ26" s="43"/>
      <c r="CK26" s="44"/>
      <c r="CL26" s="45"/>
      <c r="CM26" s="17"/>
      <c r="CS26" s="5"/>
      <c r="CT26" s="26"/>
      <c r="CU26" s="46"/>
      <c r="CV26" s="26"/>
      <c r="CW26" s="340"/>
      <c r="CX26" s="340"/>
      <c r="CY26" s="340"/>
      <c r="CZ26" s="340"/>
      <c r="DA26" s="340"/>
      <c r="DB26" s="340"/>
      <c r="DC26" s="340"/>
      <c r="DD26" s="18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</row>
    <row r="27" spans="2:151" ht="10.5" customHeight="1">
      <c r="B27" s="34"/>
      <c r="C27" s="424" t="s">
        <v>146</v>
      </c>
      <c r="D27" s="425"/>
      <c r="E27" s="425"/>
      <c r="F27" s="392">
        <f>CZ39</f>
        <v>2</v>
      </c>
      <c r="G27" s="392"/>
      <c r="H27" s="392"/>
      <c r="I27" s="168"/>
      <c r="J27" s="38"/>
      <c r="K27" s="57"/>
      <c r="L27" s="43"/>
      <c r="M27" s="43"/>
      <c r="N27" s="43"/>
      <c r="O27" s="43"/>
      <c r="P27" s="43"/>
      <c r="Q27" s="43"/>
      <c r="R27" s="41"/>
      <c r="S27" s="41"/>
      <c r="T27" s="41"/>
      <c r="U27" s="41"/>
      <c r="V27" s="41"/>
      <c r="W27" s="42"/>
      <c r="X27" s="42"/>
      <c r="Y27" s="43"/>
      <c r="Z27" s="43"/>
      <c r="AA27" s="40"/>
      <c r="AB27" s="40"/>
      <c r="AC27" s="40"/>
      <c r="AD27" s="40"/>
      <c r="AE27" s="40"/>
      <c r="AF27" s="43"/>
      <c r="AG27" s="43"/>
      <c r="AJ27" s="35"/>
      <c r="AK27" s="35"/>
      <c r="AL27" s="35"/>
      <c r="AM27" s="35"/>
      <c r="AN27" s="35"/>
      <c r="AO27" s="40"/>
      <c r="AP27" s="40"/>
      <c r="AQ27" s="40"/>
      <c r="AR27" s="40"/>
      <c r="AS27" s="40"/>
      <c r="AT27" s="40"/>
      <c r="AU27" s="43"/>
      <c r="AV27" s="48"/>
      <c r="AW27" s="48"/>
      <c r="AX27" s="48"/>
      <c r="AY27" s="48"/>
      <c r="AZ27" s="48"/>
      <c r="BA27" s="48"/>
      <c r="BB27" s="43"/>
      <c r="BC27" s="43"/>
      <c r="BD27" s="40"/>
      <c r="BE27" s="40"/>
      <c r="BF27" s="40"/>
      <c r="BG27" s="40"/>
      <c r="BH27" s="40"/>
      <c r="BI27" s="40"/>
      <c r="BJ27" s="40"/>
      <c r="BK27" s="42"/>
      <c r="BL27" s="42"/>
      <c r="BM27" s="43"/>
      <c r="BN27" s="43"/>
      <c r="BO27" s="43"/>
      <c r="BP27" s="43"/>
      <c r="BQ27" s="43"/>
      <c r="BR27" s="43"/>
      <c r="BS27" s="43"/>
      <c r="BT27" s="43"/>
      <c r="BU27" s="42"/>
      <c r="BV27" s="42"/>
      <c r="BW27" s="271"/>
      <c r="BX27" s="271"/>
      <c r="BY27" s="271"/>
      <c r="BZ27" s="271"/>
      <c r="CA27" s="275"/>
      <c r="CC27" s="274"/>
      <c r="CD27" s="274"/>
      <c r="CE27" s="274"/>
      <c r="CF27" s="274"/>
      <c r="CG27" s="274"/>
      <c r="CH27" s="274"/>
      <c r="CI27" s="274"/>
      <c r="CJ27" s="48"/>
      <c r="CK27" s="44"/>
      <c r="CL27" s="45"/>
      <c r="CM27" s="17"/>
      <c r="CS27" s="5"/>
      <c r="CT27" s="26"/>
      <c r="CU27" s="46"/>
      <c r="CV27" s="26"/>
      <c r="CW27" s="340"/>
      <c r="CX27" s="340"/>
      <c r="CY27" s="340"/>
      <c r="CZ27" s="340"/>
      <c r="DA27" s="340"/>
      <c r="DB27" s="340"/>
      <c r="DC27" s="340"/>
      <c r="DD27" s="18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</row>
    <row r="28" spans="2:151" ht="10.5" customHeight="1">
      <c r="B28" s="34"/>
      <c r="C28" s="424" t="s">
        <v>132</v>
      </c>
      <c r="D28" s="425"/>
      <c r="E28" s="425"/>
      <c r="F28" s="392">
        <f>CZ40</f>
        <v>1</v>
      </c>
      <c r="G28" s="392"/>
      <c r="H28" s="392"/>
      <c r="I28" s="168"/>
      <c r="J28" s="38"/>
      <c r="K28" s="57"/>
      <c r="L28" s="43"/>
      <c r="M28" s="43"/>
      <c r="N28" s="43"/>
      <c r="O28" s="43"/>
      <c r="P28" s="43"/>
      <c r="Q28" s="43"/>
      <c r="R28" s="41"/>
      <c r="S28" s="59"/>
      <c r="T28" s="59"/>
      <c r="U28" s="59"/>
      <c r="V28" s="41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8"/>
      <c r="AJ28" s="35"/>
      <c r="AK28" s="35"/>
      <c r="AL28" s="35"/>
      <c r="AM28" s="35"/>
      <c r="AN28" s="35"/>
      <c r="AO28" s="40"/>
      <c r="AP28" s="40"/>
      <c r="AQ28" s="40"/>
      <c r="AR28" s="40"/>
      <c r="AS28" s="43"/>
      <c r="AT28" s="43"/>
      <c r="AU28" s="43"/>
      <c r="AV28" s="48"/>
      <c r="AW28" s="48"/>
      <c r="AX28" s="48"/>
      <c r="AY28" s="48"/>
      <c r="AZ28" s="48"/>
      <c r="BA28" s="48"/>
      <c r="BB28" s="40"/>
      <c r="BC28" s="40"/>
      <c r="BD28" s="40"/>
      <c r="BE28" s="43"/>
      <c r="BF28" s="43"/>
      <c r="BG28" s="43"/>
      <c r="BH28" s="43"/>
      <c r="BI28" s="43"/>
      <c r="BJ28" s="43"/>
      <c r="BK28" s="42"/>
      <c r="BL28" s="42"/>
      <c r="BM28" s="43"/>
      <c r="BN28" s="43"/>
      <c r="BO28" s="43"/>
      <c r="BP28" s="43"/>
      <c r="BQ28" s="43"/>
      <c r="BR28" s="43"/>
      <c r="BS28" s="42"/>
      <c r="BT28" s="42"/>
      <c r="BU28" s="42"/>
      <c r="BV28" s="42"/>
      <c r="BW28" s="271"/>
      <c r="BX28" s="271"/>
      <c r="BY28" s="271"/>
      <c r="BZ28" s="271"/>
      <c r="CA28" s="275"/>
      <c r="CC28" s="276"/>
      <c r="CD28" s="276"/>
      <c r="CE28" s="276"/>
      <c r="CF28" s="276"/>
      <c r="CG28" s="276"/>
      <c r="CH28" s="274"/>
      <c r="CI28" s="274"/>
      <c r="CJ28" s="48"/>
      <c r="CK28" s="44"/>
      <c r="CL28" s="45"/>
      <c r="CM28" s="17"/>
      <c r="CS28" s="5"/>
      <c r="CT28" s="26"/>
      <c r="CU28" s="46"/>
      <c r="CV28" s="26"/>
      <c r="CW28" s="243"/>
      <c r="CX28" s="341"/>
      <c r="CY28" s="341"/>
      <c r="CZ28" s="243"/>
      <c r="DA28" s="243"/>
      <c r="DB28" s="243"/>
      <c r="DC28" s="243"/>
      <c r="DD28" s="278"/>
      <c r="DE28" s="24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</row>
    <row r="29" spans="2:151" ht="10.5" customHeight="1">
      <c r="B29" s="34"/>
      <c r="C29" s="424" t="s">
        <v>133</v>
      </c>
      <c r="D29" s="425"/>
      <c r="E29" s="425"/>
      <c r="F29" s="392">
        <f>CZ41</f>
        <v>4</v>
      </c>
      <c r="G29" s="392"/>
      <c r="H29" s="392"/>
      <c r="I29" s="168"/>
      <c r="J29" s="38"/>
      <c r="K29" s="39"/>
      <c r="L29" s="43"/>
      <c r="M29" s="43"/>
      <c r="N29" s="43"/>
      <c r="O29" s="43"/>
      <c r="P29" s="43"/>
      <c r="Q29" s="43"/>
      <c r="R29" s="41"/>
      <c r="S29" s="59"/>
      <c r="T29" s="59"/>
      <c r="U29" s="59"/>
      <c r="V29" s="41"/>
      <c r="W29" s="40"/>
      <c r="X29" s="40"/>
      <c r="Y29" s="40"/>
      <c r="Z29" s="43"/>
      <c r="AA29" s="43"/>
      <c r="AB29" s="43"/>
      <c r="AC29" s="43"/>
      <c r="AD29" s="43"/>
      <c r="AE29" s="43"/>
      <c r="AF29" s="43"/>
      <c r="AG29" s="48"/>
      <c r="AJ29" s="35"/>
      <c r="AK29" s="35"/>
      <c r="AL29" s="35"/>
      <c r="AM29" s="35"/>
      <c r="AN29" s="35"/>
      <c r="AO29" s="40"/>
      <c r="AP29" s="40"/>
      <c r="AQ29" s="40"/>
      <c r="AR29" s="40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271"/>
      <c r="BX29" s="271"/>
      <c r="BY29" s="271"/>
      <c r="BZ29" s="271"/>
      <c r="CA29" s="275"/>
      <c r="CC29" s="275"/>
      <c r="CD29" s="275"/>
      <c r="CE29" s="275"/>
      <c r="CF29" s="275"/>
      <c r="CG29" s="275"/>
      <c r="CH29" s="275"/>
      <c r="CI29" s="271"/>
      <c r="CJ29" s="42"/>
      <c r="CK29" s="44"/>
      <c r="CL29" s="45"/>
      <c r="CM29" s="17"/>
      <c r="CS29" s="5"/>
      <c r="CT29" s="26"/>
      <c r="CU29" s="46"/>
      <c r="CV29" s="26"/>
      <c r="CW29" s="243"/>
      <c r="CX29" s="341"/>
      <c r="CY29" s="341"/>
      <c r="CZ29" s="243"/>
      <c r="DA29" s="243"/>
      <c r="DB29" s="243"/>
      <c r="DC29" s="243"/>
      <c r="DD29" s="278"/>
      <c r="DE29" s="24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</row>
    <row r="30" spans="2:151" ht="10.5" customHeight="1">
      <c r="B30" s="34"/>
      <c r="C30" s="424" t="s">
        <v>333</v>
      </c>
      <c r="D30" s="425"/>
      <c r="E30" s="425"/>
      <c r="F30" s="392">
        <f>CZ42</f>
        <v>3</v>
      </c>
      <c r="G30" s="392"/>
      <c r="H30" s="392"/>
      <c r="I30" s="168"/>
      <c r="J30" s="38"/>
      <c r="K30" s="39"/>
      <c r="L30" s="43"/>
      <c r="M30" s="43"/>
      <c r="N30" s="43"/>
      <c r="O30" s="43"/>
      <c r="P30" s="43"/>
      <c r="Q30" s="43"/>
      <c r="R30" s="41"/>
      <c r="S30" s="59"/>
      <c r="T30" s="59"/>
      <c r="U30" s="59"/>
      <c r="V30" s="41"/>
      <c r="W30" s="40"/>
      <c r="X30" s="40"/>
      <c r="Y30" s="40"/>
      <c r="Z30" s="43"/>
      <c r="AA30" s="43"/>
      <c r="AB30" s="43"/>
      <c r="AC30" s="43"/>
      <c r="AD30" s="43"/>
      <c r="AE30" s="43"/>
      <c r="AF30" s="43"/>
      <c r="AG30" s="43"/>
      <c r="AJ30" s="35"/>
      <c r="AK30" s="35"/>
      <c r="AL30" s="35"/>
      <c r="AM30" s="35"/>
      <c r="AN30" s="35"/>
      <c r="AO30" s="43"/>
      <c r="AP30" s="40"/>
      <c r="AQ30" s="40"/>
      <c r="AR30" s="40"/>
      <c r="AS30" s="40"/>
      <c r="AT30" s="42"/>
      <c r="AU30" s="42"/>
      <c r="AV30" s="42"/>
      <c r="AW30" s="42"/>
      <c r="AX30" s="42"/>
      <c r="AY30" s="43"/>
      <c r="AZ30" s="43"/>
      <c r="BA30" s="43"/>
      <c r="BB30" s="43"/>
      <c r="BC30" s="43"/>
      <c r="BD30" s="43"/>
      <c r="BE30" s="40"/>
      <c r="BF30" s="40"/>
      <c r="BG30" s="40"/>
      <c r="BH30" s="40"/>
      <c r="BI30" s="40"/>
      <c r="BJ30" s="40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271"/>
      <c r="BX30" s="271"/>
      <c r="BY30" s="271"/>
      <c r="BZ30" s="271"/>
      <c r="CA30" s="275"/>
      <c r="CC30" s="275"/>
      <c r="CD30" s="275"/>
      <c r="CE30" s="275"/>
      <c r="CF30" s="275"/>
      <c r="CG30" s="271"/>
      <c r="CH30" s="271"/>
      <c r="CI30" s="271"/>
      <c r="CJ30" s="42"/>
      <c r="CK30" s="44"/>
      <c r="CL30" s="45"/>
      <c r="CM30" s="17"/>
      <c r="CS30" s="5"/>
      <c r="CT30" s="26"/>
      <c r="CU30" s="46"/>
      <c r="CV30" s="26"/>
      <c r="CW30" s="243"/>
      <c r="CX30" s="341"/>
      <c r="CY30" s="341"/>
      <c r="CZ30" s="243"/>
      <c r="DA30" s="243"/>
      <c r="DB30" s="243"/>
      <c r="DC30" s="243"/>
      <c r="DD30" s="278"/>
      <c r="DE30" s="24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</row>
    <row r="31" spans="2:151" ht="10.5" customHeight="1">
      <c r="B31" s="34"/>
      <c r="C31" s="139"/>
      <c r="D31" s="141"/>
      <c r="E31" s="250" t="s">
        <v>289</v>
      </c>
      <c r="F31" s="392">
        <f>CZ43</f>
        <v>0</v>
      </c>
      <c r="G31" s="392"/>
      <c r="H31" s="392"/>
      <c r="I31" s="168"/>
      <c r="J31" s="38"/>
      <c r="K31" s="39"/>
      <c r="L31" s="40"/>
      <c r="M31" s="42"/>
      <c r="N31" s="42"/>
      <c r="O31" s="42"/>
      <c r="P31" s="42"/>
      <c r="Q31" s="42"/>
      <c r="R31" s="41"/>
      <c r="S31" s="59"/>
      <c r="T31" s="59"/>
      <c r="U31" s="59"/>
      <c r="V31" s="41"/>
      <c r="W31" s="40"/>
      <c r="X31" s="40"/>
      <c r="Y31" s="40"/>
      <c r="Z31" s="40"/>
      <c r="AA31" s="43"/>
      <c r="AB31" s="43"/>
      <c r="AC31" s="43"/>
      <c r="AD31" s="43"/>
      <c r="AE31" s="48"/>
      <c r="AF31" s="48"/>
      <c r="AG31" s="48"/>
      <c r="AH31" s="48"/>
      <c r="AI31" s="48"/>
      <c r="AJ31" s="48"/>
      <c r="AK31" s="43"/>
      <c r="AL31" s="43"/>
      <c r="AM31" s="43"/>
      <c r="AN31" s="43"/>
      <c r="AO31" s="43"/>
      <c r="AP31" s="40"/>
      <c r="AQ31" s="40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0"/>
      <c r="BH31" s="43"/>
      <c r="BI31" s="48"/>
      <c r="BJ31" s="48"/>
      <c r="BK31" s="48"/>
      <c r="BL31" s="48"/>
      <c r="BM31" s="48"/>
      <c r="BN31" s="48"/>
      <c r="BO31" s="43"/>
      <c r="BQ31" s="42"/>
      <c r="BS31" s="42"/>
      <c r="BT31" s="42"/>
      <c r="BU31" s="42"/>
      <c r="BV31" s="42"/>
      <c r="BW31" s="271"/>
      <c r="BX31" s="271"/>
      <c r="BY31" s="271"/>
      <c r="BZ31" s="271"/>
      <c r="CA31" s="271"/>
      <c r="CC31" s="271"/>
      <c r="CD31" s="275"/>
      <c r="CE31" s="275"/>
      <c r="CF31" s="275"/>
      <c r="CG31" s="275"/>
      <c r="CH31" s="275"/>
      <c r="CI31" s="275"/>
      <c r="CJ31" s="42"/>
      <c r="CK31" s="44"/>
      <c r="CL31" s="45"/>
      <c r="CM31" s="17"/>
      <c r="CS31" s="5"/>
      <c r="CT31" s="26"/>
      <c r="CU31" s="46"/>
      <c r="CV31" s="26"/>
      <c r="CW31" s="243"/>
      <c r="CX31" s="341"/>
      <c r="CY31" s="341"/>
      <c r="CZ31" s="342">
        <v>4</v>
      </c>
      <c r="DA31" s="343">
        <v>1</v>
      </c>
      <c r="DB31" s="243"/>
      <c r="DC31" s="243"/>
      <c r="DD31" s="278"/>
      <c r="DE31" s="24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</row>
    <row r="32" spans="2:151" ht="10.5" customHeight="1">
      <c r="B32" s="34"/>
      <c r="C32" s="169"/>
      <c r="D32" s="170"/>
      <c r="E32" s="170"/>
      <c r="F32" s="170"/>
      <c r="G32" s="170"/>
      <c r="H32" s="170"/>
      <c r="I32" s="171"/>
      <c r="J32" s="38"/>
      <c r="K32" s="39"/>
      <c r="L32" s="40"/>
      <c r="M32" s="40"/>
      <c r="N32" s="40"/>
      <c r="O32" s="40"/>
      <c r="P32" s="40"/>
      <c r="Q32" s="40"/>
      <c r="R32" s="41"/>
      <c r="S32" s="41"/>
      <c r="T32" s="41"/>
      <c r="U32" s="41"/>
      <c r="V32" s="41"/>
      <c r="W32" s="40"/>
      <c r="X32" s="40"/>
      <c r="Y32" s="40"/>
      <c r="Z32" s="43"/>
      <c r="AA32" s="43"/>
      <c r="AB32" s="43"/>
      <c r="AC32" s="43"/>
      <c r="AD32" s="43"/>
      <c r="AE32" s="48"/>
      <c r="AF32" s="48"/>
      <c r="AG32" s="48"/>
      <c r="AH32" s="48"/>
      <c r="AI32" s="48"/>
      <c r="AJ32" s="48"/>
      <c r="AK32" s="43"/>
      <c r="AL32" s="43"/>
      <c r="AM32" s="48"/>
      <c r="AN32" s="48"/>
      <c r="AO32" s="48"/>
      <c r="AP32" s="48"/>
      <c r="AQ32" s="48"/>
      <c r="AR32" s="48"/>
      <c r="AS32" s="43"/>
      <c r="AT32" s="48"/>
      <c r="AU32" s="48"/>
      <c r="AV32" s="48"/>
      <c r="AW32" s="48"/>
      <c r="AX32" s="48"/>
      <c r="AY32" s="48"/>
      <c r="AZ32" s="43"/>
      <c r="BA32" s="48"/>
      <c r="BB32" s="48"/>
      <c r="BC32" s="48"/>
      <c r="BD32" s="48"/>
      <c r="BE32" s="48"/>
      <c r="BF32" s="48"/>
      <c r="BG32" s="40"/>
      <c r="BH32" s="43"/>
      <c r="BI32" s="48"/>
      <c r="BJ32" s="48"/>
      <c r="BK32" s="48"/>
      <c r="BL32" s="48"/>
      <c r="BM32" s="48"/>
      <c r="BN32" s="48"/>
      <c r="BO32" s="43"/>
      <c r="BP32" s="42"/>
      <c r="BQ32" s="42"/>
      <c r="BR32" s="42"/>
      <c r="BS32" s="42"/>
      <c r="BT32" s="42"/>
      <c r="BU32" s="42"/>
      <c r="BV32" s="42"/>
      <c r="BW32" s="271"/>
      <c r="BX32" s="271"/>
      <c r="BY32" s="271"/>
      <c r="BZ32" s="271"/>
      <c r="CA32" s="271"/>
      <c r="CC32" s="271"/>
      <c r="CD32" s="275"/>
      <c r="CE32" s="275"/>
      <c r="CF32" s="272"/>
      <c r="CG32" s="275"/>
      <c r="CH32" s="275"/>
      <c r="CI32" s="275"/>
      <c r="CJ32" s="42"/>
      <c r="CK32" s="44"/>
      <c r="CL32" s="45"/>
      <c r="CM32" s="17"/>
      <c r="CS32" s="5"/>
      <c r="CT32" s="26"/>
      <c r="CU32" s="46"/>
      <c r="CV32" s="26"/>
      <c r="CW32" s="243"/>
      <c r="CX32" s="341"/>
      <c r="CY32" s="344" t="s">
        <v>143</v>
      </c>
      <c r="CZ32" s="243"/>
      <c r="DA32" s="345">
        <v>2</v>
      </c>
      <c r="DB32" s="243"/>
      <c r="DC32" s="243"/>
      <c r="DD32" s="278"/>
      <c r="DE32" s="24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</row>
    <row r="33" spans="2:151" ht="10.5" customHeight="1">
      <c r="B33" s="34"/>
      <c r="C33" s="38"/>
      <c r="D33" s="38"/>
      <c r="E33" s="38"/>
      <c r="F33" s="38"/>
      <c r="G33" s="38"/>
      <c r="H33" s="38"/>
      <c r="I33" s="38"/>
      <c r="J33" s="38"/>
      <c r="K33" s="39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8"/>
      <c r="Y33" s="48"/>
      <c r="Z33" s="48"/>
      <c r="AA33" s="48"/>
      <c r="AB33" s="48"/>
      <c r="AC33" s="48"/>
      <c r="AD33" s="43"/>
      <c r="AE33" s="43"/>
      <c r="AF33" s="43"/>
      <c r="AG33" s="43"/>
      <c r="AH33" s="43"/>
      <c r="AI33" s="43"/>
      <c r="AJ33" s="43"/>
      <c r="AK33" s="43"/>
      <c r="AL33" s="43"/>
      <c r="AM33" s="48"/>
      <c r="AN33" s="48"/>
      <c r="AO33" s="48"/>
      <c r="AP33" s="48"/>
      <c r="AQ33" s="48"/>
      <c r="AR33" s="48"/>
      <c r="AS33" s="40"/>
      <c r="AT33" s="48"/>
      <c r="AU33" s="48"/>
      <c r="AV33" s="48"/>
      <c r="AW33" s="48"/>
      <c r="AX33" s="48"/>
      <c r="AY33" s="48"/>
      <c r="AZ33" s="43"/>
      <c r="BA33" s="48"/>
      <c r="BB33" s="48"/>
      <c r="BC33" s="48"/>
      <c r="BD33" s="48"/>
      <c r="BE33" s="48"/>
      <c r="BF33" s="48"/>
      <c r="BG33" s="40"/>
      <c r="BH33" s="43"/>
      <c r="BI33" s="43"/>
      <c r="BJ33" s="43"/>
      <c r="BK33" s="43"/>
      <c r="BL33" s="43"/>
      <c r="BM33" s="43"/>
      <c r="BN33" s="42"/>
      <c r="BO33" s="42"/>
      <c r="BP33" s="42"/>
      <c r="BQ33" s="42"/>
      <c r="BR33" s="42"/>
      <c r="BS33" s="42"/>
      <c r="BT33" s="42"/>
      <c r="BU33" s="42"/>
      <c r="BV33" s="42"/>
      <c r="BW33" s="271"/>
      <c r="BX33" s="271"/>
      <c r="BY33" s="271"/>
      <c r="BZ33" s="271"/>
      <c r="CA33" s="272"/>
      <c r="CC33" s="274"/>
      <c r="CD33" s="274"/>
      <c r="CE33" s="274"/>
      <c r="CF33" s="274"/>
      <c r="CG33" s="274"/>
      <c r="CH33" s="274"/>
      <c r="CI33" s="274"/>
      <c r="CJ33" s="48"/>
      <c r="CK33" s="58"/>
      <c r="CL33" s="45"/>
      <c r="CM33" s="17"/>
      <c r="CS33" s="5"/>
      <c r="CT33" s="26"/>
      <c r="CU33" s="46"/>
      <c r="CV33" s="26"/>
      <c r="CW33" s="243"/>
      <c r="CX33" s="341"/>
      <c r="CY33" s="346" t="s">
        <v>141</v>
      </c>
      <c r="CZ33" s="243">
        <f>IF(chkFlagUnits=1,DA33,DB33)</f>
        <v>14.497523803332651</v>
      </c>
      <c r="DA33" s="243">
        <f>INDEX(Model!T7:T14,'2.Cooling'!CZ31)</f>
        <v>0.40270899453701808</v>
      </c>
      <c r="DB33" s="243">
        <f>DA33/(Pen/3600)</f>
        <v>14.497523803332651</v>
      </c>
      <c r="DC33" s="243"/>
      <c r="DD33" s="278"/>
      <c r="DE33" s="24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</row>
    <row r="34" spans="2:151" ht="10.5" customHeight="1">
      <c r="B34" s="34"/>
      <c r="C34" s="393" t="s">
        <v>91</v>
      </c>
      <c r="D34" s="394"/>
      <c r="E34" s="394"/>
      <c r="F34" s="394"/>
      <c r="G34" s="394"/>
      <c r="H34" s="394"/>
      <c r="I34" s="395"/>
      <c r="J34" s="38"/>
      <c r="K34" s="60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2"/>
      <c r="X34" s="48"/>
      <c r="Y34" s="48"/>
      <c r="Z34" s="48"/>
      <c r="AA34" s="48"/>
      <c r="AB34" s="48"/>
      <c r="AC34" s="48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8"/>
      <c r="BP34" s="48"/>
      <c r="BQ34" s="48"/>
      <c r="BR34" s="48"/>
      <c r="BS34" s="48"/>
      <c r="BT34" s="48"/>
      <c r="BU34" s="42"/>
      <c r="BV34" s="42"/>
      <c r="BW34" s="275"/>
      <c r="BX34" s="275"/>
      <c r="BY34" s="271"/>
      <c r="BZ34" s="271"/>
      <c r="CC34" s="276"/>
      <c r="CD34" s="276"/>
      <c r="CE34" s="276"/>
      <c r="CF34" s="276"/>
      <c r="CG34" s="276"/>
      <c r="CH34" s="274"/>
      <c r="CI34" s="274"/>
      <c r="CJ34" s="48"/>
      <c r="CK34" s="58"/>
      <c r="CL34" s="45"/>
      <c r="CM34" s="17"/>
      <c r="CS34" s="5"/>
      <c r="CT34" s="26"/>
      <c r="CU34" s="46"/>
      <c r="CV34" s="26"/>
      <c r="CW34" s="243"/>
      <c r="CX34" s="341"/>
      <c r="CY34" s="346" t="s">
        <v>142</v>
      </c>
      <c r="CZ34" s="243">
        <f>IF(chkFlagUnits=1,DA34,DB34)</f>
        <v>0.15476474802961551</v>
      </c>
      <c r="DA34" s="243">
        <f>INDEX(Model!U7:U14,'2.Cooling'!CZ31)</f>
        <v>4.2990207786004304E-3</v>
      </c>
      <c r="DB34" s="243">
        <f>DA34/(Pen/3600)</f>
        <v>0.15476474802961551</v>
      </c>
      <c r="DC34" s="243"/>
      <c r="DD34" s="278"/>
      <c r="DE34" s="24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</row>
    <row r="35" spans="2:151" ht="10.5" customHeight="1">
      <c r="B35" s="34"/>
      <c r="C35" s="396"/>
      <c r="D35" s="397"/>
      <c r="E35" s="397"/>
      <c r="F35" s="397"/>
      <c r="G35" s="397"/>
      <c r="H35" s="397"/>
      <c r="I35" s="398"/>
      <c r="J35" s="61"/>
      <c r="K35" s="60"/>
      <c r="L35" s="31"/>
      <c r="M35" s="31"/>
      <c r="N35" s="31"/>
      <c r="O35" s="31"/>
      <c r="P35" s="42"/>
      <c r="Q35" s="31"/>
      <c r="R35" s="43"/>
      <c r="S35" s="43"/>
      <c r="T35" s="43"/>
      <c r="U35" s="43"/>
      <c r="V35" s="43"/>
      <c r="W35" s="42"/>
      <c r="X35" s="43"/>
      <c r="Y35" s="43"/>
      <c r="Z35" s="43"/>
      <c r="AA35" s="43"/>
      <c r="AB35" s="43"/>
      <c r="AC35" s="43"/>
      <c r="AD35" s="42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8"/>
      <c r="BP35" s="48"/>
      <c r="BQ35" s="48"/>
      <c r="BR35" s="48"/>
      <c r="BS35" s="48"/>
      <c r="BT35" s="48"/>
      <c r="BU35" s="42"/>
      <c r="BV35" s="42"/>
      <c r="BW35" s="275"/>
      <c r="BX35" s="275"/>
      <c r="BY35" s="271"/>
      <c r="BZ35" s="271"/>
      <c r="CA35" s="271"/>
      <c r="CC35" s="271"/>
      <c r="CD35" s="271"/>
      <c r="CE35" s="271"/>
      <c r="CF35" s="271"/>
      <c r="CG35" s="271"/>
      <c r="CH35" s="271"/>
      <c r="CI35" s="271"/>
      <c r="CJ35" s="42"/>
      <c r="CK35" s="44"/>
      <c r="CL35" s="45"/>
      <c r="CM35" s="17"/>
      <c r="CS35" s="5"/>
      <c r="CT35" s="26"/>
      <c r="CU35" s="46"/>
      <c r="CV35" s="26"/>
      <c r="CW35" s="243"/>
      <c r="CX35" s="341"/>
      <c r="CY35" s="346" t="s">
        <v>140</v>
      </c>
      <c r="CZ35" s="243">
        <f>IF(chkFlagUnits=1,DA35,DB35)</f>
        <v>2.7447400126369148</v>
      </c>
      <c r="DA35" s="243">
        <f>INDEX(Model!V7:V14,'2.Cooling'!CZ31)</f>
        <v>7.6242778128803187E-2</v>
      </c>
      <c r="DB35" s="243">
        <f>DA35/(Pen/3600)</f>
        <v>2.7447400126369148</v>
      </c>
      <c r="DC35" s="243"/>
      <c r="DD35" s="278"/>
      <c r="DE35" s="24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</row>
    <row r="36" spans="2:151" ht="10.5" customHeight="1">
      <c r="B36" s="34"/>
      <c r="C36" s="152" t="s">
        <v>10</v>
      </c>
      <c r="D36" s="153"/>
      <c r="E36" s="153"/>
      <c r="F36" s="153"/>
      <c r="G36" s="153"/>
      <c r="H36" s="153"/>
      <c r="I36" s="154"/>
      <c r="J36" s="61"/>
      <c r="K36" s="60"/>
      <c r="L36" s="31"/>
      <c r="M36" s="31"/>
      <c r="N36" s="31"/>
      <c r="O36" s="31"/>
      <c r="P36" s="31"/>
      <c r="Q36" s="31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2"/>
      <c r="BG36" s="42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2"/>
      <c r="BW36" s="275"/>
      <c r="BX36" s="275"/>
      <c r="BY36" s="271"/>
      <c r="BZ36" s="271"/>
      <c r="CA36" s="274"/>
      <c r="CC36" s="274"/>
      <c r="CD36" s="274"/>
      <c r="CE36" s="274"/>
      <c r="CF36" s="274"/>
      <c r="CG36" s="271"/>
      <c r="CH36" s="271"/>
      <c r="CI36" s="271"/>
      <c r="CJ36" s="42"/>
      <c r="CK36" s="44"/>
      <c r="CL36" s="45"/>
      <c r="CM36" s="17"/>
      <c r="CS36" s="5"/>
      <c r="CT36" s="26"/>
      <c r="CU36" s="46"/>
      <c r="CV36" s="26"/>
      <c r="CW36" s="243"/>
      <c r="CX36" s="341"/>
      <c r="CY36" s="347"/>
      <c r="CZ36" s="243">
        <f>SUM(CZ33:CZ35)</f>
        <v>17.397028563999182</v>
      </c>
      <c r="DA36" s="243">
        <f t="shared" ref="DA36:DB36" si="0">SUM(DA33:DA35)</f>
        <v>0.48325079344442173</v>
      </c>
      <c r="DB36" s="243">
        <f t="shared" si="0"/>
        <v>17.397028563999182</v>
      </c>
      <c r="DC36" s="243"/>
      <c r="DD36" s="278"/>
      <c r="DE36" s="24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</row>
    <row r="37" spans="2:151" ht="10.5" customHeight="1">
      <c r="B37" s="34"/>
      <c r="C37" s="155" t="s">
        <v>150</v>
      </c>
      <c r="D37" s="148"/>
      <c r="E37" s="148"/>
      <c r="F37" s="172">
        <f>Pen</f>
        <v>100</v>
      </c>
      <c r="G37" s="174" t="s">
        <v>58</v>
      </c>
      <c r="H37" s="148"/>
      <c r="I37" s="156"/>
      <c r="J37" s="61"/>
      <c r="K37" s="60"/>
      <c r="L37" s="43"/>
      <c r="M37" s="43"/>
      <c r="N37" s="43"/>
      <c r="O37" s="43"/>
      <c r="P37" s="43"/>
      <c r="Q37" s="43"/>
      <c r="R37" s="42"/>
      <c r="S37" s="42"/>
      <c r="T37" s="42"/>
      <c r="U37" s="42"/>
      <c r="V37" s="42"/>
      <c r="W37" s="42"/>
      <c r="X37" s="42"/>
      <c r="Y37" s="43"/>
      <c r="Z37" s="43"/>
      <c r="AA37" s="43"/>
      <c r="AB37" s="43"/>
      <c r="AC37" s="43"/>
      <c r="AD37" s="43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3"/>
      <c r="AU37" s="43"/>
      <c r="AV37" s="43"/>
      <c r="AW37" s="43"/>
      <c r="AX37" s="43"/>
      <c r="AY37" s="43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2"/>
      <c r="BW37" s="275"/>
      <c r="BX37" s="275"/>
      <c r="BY37" s="271"/>
      <c r="BZ37" s="271"/>
      <c r="CA37" s="274"/>
      <c r="CC37" s="274"/>
      <c r="CD37" s="274"/>
      <c r="CE37" s="274"/>
      <c r="CF37" s="274"/>
      <c r="CG37" s="271"/>
      <c r="CH37" s="271"/>
      <c r="CI37" s="271"/>
      <c r="CJ37" s="42"/>
      <c r="CK37" s="44"/>
      <c r="CL37" s="45"/>
      <c r="CM37" s="17"/>
      <c r="CS37" s="5"/>
      <c r="CT37" s="5"/>
      <c r="CU37" s="5"/>
      <c r="CV37" s="5"/>
      <c r="CW37" s="243"/>
      <c r="CX37" s="341"/>
      <c r="CY37" s="346" t="s">
        <v>144</v>
      </c>
      <c r="CZ37" s="243">
        <f>INDEX(Model!W7:W14,'2.Cooling'!CZ31)+CAPEXtreat*flgTreat</f>
        <v>18.575264853906795</v>
      </c>
      <c r="DA37" s="243"/>
      <c r="DB37" s="243"/>
      <c r="DC37" s="243"/>
      <c r="DD37" s="278"/>
      <c r="DE37" s="24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</row>
    <row r="38" spans="2:151" ht="10.5" customHeight="1">
      <c r="B38" s="34"/>
      <c r="C38" s="157"/>
      <c r="D38" s="148"/>
      <c r="E38" s="148"/>
      <c r="F38" s="175"/>
      <c r="G38" s="176"/>
      <c r="H38" s="148"/>
      <c r="I38" s="156"/>
      <c r="J38" s="61"/>
      <c r="K38" s="60"/>
      <c r="L38" s="31"/>
      <c r="M38" s="31"/>
      <c r="N38" s="31"/>
      <c r="P38" s="31"/>
      <c r="Q38" s="31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O38" s="43"/>
      <c r="BP38" s="43"/>
      <c r="BQ38" s="43"/>
      <c r="BR38" s="43"/>
      <c r="BS38" s="43"/>
      <c r="BT38" s="43"/>
      <c r="BU38" s="42"/>
      <c r="BV38" s="42"/>
      <c r="BW38" s="275"/>
      <c r="BX38" s="275"/>
      <c r="BY38" s="271"/>
      <c r="BZ38" s="271"/>
      <c r="CA38" s="278"/>
      <c r="CC38" s="278"/>
      <c r="CD38" s="278"/>
      <c r="CE38" s="278"/>
      <c r="CF38" s="278"/>
      <c r="CG38" s="271"/>
      <c r="CH38" s="271"/>
      <c r="CI38" s="271"/>
      <c r="CJ38" s="42"/>
      <c r="CK38" s="44"/>
      <c r="CL38" s="45"/>
      <c r="CS38" s="5"/>
      <c r="CT38" s="5"/>
      <c r="CU38" s="5"/>
      <c r="CV38" s="5"/>
      <c r="CW38" s="243"/>
      <c r="CX38" s="341"/>
      <c r="CY38" s="346" t="s">
        <v>145</v>
      </c>
      <c r="CZ38" s="243">
        <f>INDEX(Model!X7:X14,'2.Cooling'!CZ31)+OPEXtreat*flgTreat</f>
        <v>0.47303999999999991</v>
      </c>
      <c r="DA38" s="243"/>
      <c r="DB38" s="243"/>
      <c r="DC38" s="243"/>
      <c r="DD38" s="278"/>
      <c r="DE38" s="24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</row>
    <row r="39" spans="2:151" ht="10.5" customHeight="1">
      <c r="B39" s="34"/>
      <c r="C39" s="159" t="s">
        <v>22</v>
      </c>
      <c r="D39" s="148"/>
      <c r="E39" s="148"/>
      <c r="F39" s="176"/>
      <c r="G39" s="176"/>
      <c r="H39" s="148"/>
      <c r="I39" s="156"/>
      <c r="J39" s="61"/>
      <c r="K39" s="60"/>
      <c r="L39" s="31"/>
      <c r="M39" s="31"/>
      <c r="N39" s="31"/>
      <c r="O39" s="48"/>
      <c r="P39" s="48"/>
      <c r="Q39" s="48"/>
      <c r="R39" s="48"/>
      <c r="S39" s="48"/>
      <c r="T39" s="48"/>
      <c r="U39" s="43"/>
      <c r="V39" s="43"/>
      <c r="W39" s="43"/>
      <c r="X39" s="43"/>
      <c r="Y39" s="42"/>
      <c r="Z39" s="48"/>
      <c r="AA39" s="48"/>
      <c r="AB39" s="48"/>
      <c r="AC39" s="48"/>
      <c r="AD39" s="48"/>
      <c r="AE39" s="48"/>
      <c r="AF39" s="43"/>
      <c r="AG39" s="43"/>
      <c r="AH39" s="43"/>
      <c r="AI39" s="48"/>
      <c r="AJ39" s="48"/>
      <c r="AK39" s="48"/>
      <c r="AL39" s="48"/>
      <c r="AM39" s="48"/>
      <c r="AN39" s="48"/>
      <c r="AO39" s="43"/>
      <c r="AP39" s="48"/>
      <c r="AQ39" s="48"/>
      <c r="AR39" s="48"/>
      <c r="AS39" s="48"/>
      <c r="AT39" s="48"/>
      <c r="AU39" s="48"/>
      <c r="AV39" s="43"/>
      <c r="AW39" s="48"/>
      <c r="AX39" s="48"/>
      <c r="AY39" s="48"/>
      <c r="AZ39" s="48"/>
      <c r="BA39" s="48"/>
      <c r="BB39" s="48"/>
      <c r="BC39" s="43"/>
      <c r="BD39" s="48"/>
      <c r="BE39" s="48"/>
      <c r="BF39" s="48"/>
      <c r="BG39" s="48"/>
      <c r="BH39" s="48"/>
      <c r="BI39" s="48"/>
      <c r="BJ39" s="43"/>
      <c r="BK39" s="48"/>
      <c r="BL39" s="48"/>
      <c r="BM39" s="48"/>
      <c r="BN39" s="48"/>
      <c r="BO39" s="48"/>
      <c r="BP39" s="48"/>
      <c r="BQ39" s="43"/>
      <c r="BR39" s="48"/>
      <c r="BS39" s="48"/>
      <c r="BT39" s="48"/>
      <c r="BU39" s="48"/>
      <c r="BV39" s="48"/>
      <c r="BW39" s="274"/>
      <c r="BX39" s="275"/>
      <c r="BY39" s="271"/>
      <c r="BZ39" s="279"/>
      <c r="CA39" s="279"/>
      <c r="CC39" s="279"/>
      <c r="CD39" s="279"/>
      <c r="CE39" s="279"/>
      <c r="CF39" s="279"/>
      <c r="CG39" s="279"/>
      <c r="CH39" s="279"/>
      <c r="CI39" s="279"/>
      <c r="CJ39" s="42"/>
      <c r="CK39" s="44"/>
      <c r="CL39" s="45"/>
      <c r="CS39" s="5"/>
      <c r="CT39" s="5"/>
      <c r="CU39" s="5"/>
      <c r="CV39" s="5"/>
      <c r="CW39" s="243"/>
      <c r="CX39" s="348"/>
      <c r="CY39" s="346" t="s">
        <v>131</v>
      </c>
      <c r="CZ39" s="347">
        <f>INDEX(Model!Y7:Y14,'2.Cooling'!CZ31)</f>
        <v>2</v>
      </c>
      <c r="DA39" s="347"/>
      <c r="DB39" s="347"/>
      <c r="DC39" s="243"/>
      <c r="DD39" s="278"/>
      <c r="DE39" s="24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</row>
    <row r="40" spans="2:151" ht="10.5" customHeight="1">
      <c r="B40" s="34"/>
      <c r="C40" s="160" t="s">
        <v>23</v>
      </c>
      <c r="D40" s="148"/>
      <c r="E40" s="148"/>
      <c r="F40" s="172">
        <f>Tair</f>
        <v>40</v>
      </c>
      <c r="G40" s="158" t="s">
        <v>12</v>
      </c>
      <c r="H40" s="148"/>
      <c r="I40" s="156"/>
      <c r="J40" s="61"/>
      <c r="K40" s="60"/>
      <c r="L40" s="42"/>
      <c r="M40" s="42"/>
      <c r="N40" s="42"/>
      <c r="O40" s="48"/>
      <c r="P40" s="48"/>
      <c r="Q40" s="48"/>
      <c r="R40" s="48"/>
      <c r="S40" s="48"/>
      <c r="T40" s="48"/>
      <c r="U40" s="43"/>
      <c r="V40" s="43"/>
      <c r="W40" s="43"/>
      <c r="X40" s="43"/>
      <c r="Y40" s="42"/>
      <c r="Z40" s="48"/>
      <c r="AA40" s="48"/>
      <c r="AB40" s="48"/>
      <c r="AC40" s="48"/>
      <c r="AD40" s="48"/>
      <c r="BF40" s="48"/>
      <c r="BG40" s="48"/>
      <c r="BH40" s="48"/>
      <c r="BI40" s="48"/>
      <c r="BJ40" s="43"/>
      <c r="BK40" s="48"/>
      <c r="BL40" s="48"/>
      <c r="BM40" s="48"/>
      <c r="BN40" s="48"/>
      <c r="BO40" s="48"/>
      <c r="BP40" s="48"/>
      <c r="BQ40" s="43"/>
      <c r="BR40" s="48"/>
      <c r="BS40" s="48"/>
      <c r="BT40" s="48"/>
      <c r="BU40" s="48"/>
      <c r="BV40" s="48"/>
      <c r="BW40" s="274"/>
      <c r="BX40" s="275"/>
      <c r="BY40" s="271"/>
      <c r="BZ40" s="279"/>
      <c r="CA40" s="279"/>
      <c r="CC40" s="279"/>
      <c r="CD40" s="279"/>
      <c r="CE40" s="279"/>
      <c r="CF40" s="279"/>
      <c r="CG40" s="279"/>
      <c r="CH40" s="279"/>
      <c r="CI40" s="279"/>
      <c r="CJ40" s="42"/>
      <c r="CK40" s="44"/>
      <c r="CL40" s="45"/>
      <c r="CW40" s="347"/>
      <c r="CX40" s="348"/>
      <c r="CY40" s="346" t="s">
        <v>132</v>
      </c>
      <c r="CZ40" s="347">
        <f>INDEX(Model!Z7:Z14,'2.Cooling'!CZ31)</f>
        <v>1</v>
      </c>
      <c r="DA40" s="347"/>
      <c r="DB40" s="347"/>
      <c r="DC40" s="347"/>
      <c r="DD40" s="283"/>
      <c r="DE40" s="247"/>
    </row>
    <row r="41" spans="2:151" ht="10.5" customHeight="1">
      <c r="B41" s="34"/>
      <c r="C41" s="157"/>
      <c r="D41" s="148"/>
      <c r="E41" s="148"/>
      <c r="F41" s="172"/>
      <c r="G41" s="176"/>
      <c r="H41" s="148"/>
      <c r="I41" s="156"/>
      <c r="J41" s="61"/>
      <c r="K41" s="60"/>
      <c r="L41" s="42"/>
      <c r="M41" s="42"/>
      <c r="N41" s="42"/>
      <c r="O41" s="31"/>
      <c r="P41" s="31"/>
      <c r="Q41" s="31"/>
      <c r="R41" s="31"/>
      <c r="S41" s="31"/>
      <c r="T41" s="31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275"/>
      <c r="BX41" s="275"/>
      <c r="BY41" s="275"/>
      <c r="BZ41" s="279"/>
      <c r="CA41" s="279"/>
      <c r="CC41" s="272"/>
      <c r="CD41" s="279"/>
      <c r="CE41" s="279"/>
      <c r="CF41" s="279"/>
      <c r="CG41" s="279"/>
      <c r="CH41" s="279"/>
      <c r="CI41" s="279"/>
      <c r="CJ41" s="42"/>
      <c r="CK41" s="44"/>
      <c r="CL41" s="45"/>
      <c r="CW41" s="347"/>
      <c r="CX41" s="348"/>
      <c r="CY41" s="346" t="s">
        <v>133</v>
      </c>
      <c r="CZ41" s="347">
        <f>INDEX(Model!AA7:AA14,'2.Cooling'!CZ31)</f>
        <v>4</v>
      </c>
      <c r="DA41" s="347"/>
      <c r="DB41" s="347"/>
      <c r="DC41" s="347"/>
      <c r="DD41" s="283"/>
      <c r="DE41" s="247"/>
    </row>
    <row r="42" spans="2:151" ht="10.5" customHeight="1">
      <c r="B42" s="34"/>
      <c r="C42" s="160" t="s">
        <v>24</v>
      </c>
      <c r="D42" s="148"/>
      <c r="E42" s="148"/>
      <c r="F42" s="173">
        <f>RH</f>
        <v>0.3</v>
      </c>
      <c r="G42" s="176"/>
      <c r="H42" s="148"/>
      <c r="I42" s="156"/>
      <c r="J42" s="64"/>
      <c r="K42" s="57"/>
      <c r="L42" s="43"/>
      <c r="M42" s="43"/>
      <c r="N42" s="43"/>
      <c r="O42" s="31"/>
      <c r="P42" s="31"/>
      <c r="Q42" s="31"/>
      <c r="R42" s="31"/>
      <c r="S42" s="31"/>
      <c r="T42" s="31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275"/>
      <c r="BX42" s="275"/>
      <c r="BY42" s="275"/>
      <c r="BZ42" s="272"/>
      <c r="CA42" s="277"/>
      <c r="CC42" s="279"/>
      <c r="CD42" s="279"/>
      <c r="CE42" s="279"/>
      <c r="CF42" s="279"/>
      <c r="CG42" s="279"/>
      <c r="CH42" s="279"/>
      <c r="CI42" s="279"/>
      <c r="CJ42" s="42"/>
      <c r="CK42" s="44"/>
      <c r="CL42" s="45"/>
      <c r="CW42" s="347"/>
      <c r="CX42" s="348"/>
      <c r="CY42" s="346" t="s">
        <v>134</v>
      </c>
      <c r="CZ42" s="347">
        <f>INDEX(Model!AB7:AB14,'2.Cooling'!CZ31)</f>
        <v>3</v>
      </c>
      <c r="DA42" s="347"/>
      <c r="DB42" s="347"/>
      <c r="DC42" s="347"/>
      <c r="DD42" s="283"/>
      <c r="DE42" s="247"/>
    </row>
    <row r="43" spans="2:151" ht="10.5" customHeight="1">
      <c r="B43" s="34"/>
      <c r="C43" s="157"/>
      <c r="D43" s="148"/>
      <c r="E43" s="148"/>
      <c r="F43" s="172"/>
      <c r="G43" s="176"/>
      <c r="H43" s="148"/>
      <c r="I43" s="156"/>
      <c r="J43" s="64"/>
      <c r="K43" s="57"/>
      <c r="L43" s="43"/>
      <c r="M43" s="43"/>
      <c r="N43" s="43"/>
      <c r="O43" s="43"/>
      <c r="P43" s="43"/>
      <c r="Q43" s="42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275"/>
      <c r="BX43" s="271"/>
      <c r="BY43" s="271"/>
      <c r="BZ43" s="279"/>
      <c r="CA43" s="279"/>
      <c r="CB43" s="279"/>
      <c r="CC43" s="279"/>
      <c r="CD43" s="279"/>
      <c r="CE43" s="279"/>
      <c r="CF43" s="279"/>
      <c r="CG43" s="279"/>
      <c r="CH43" s="279"/>
      <c r="CI43" s="279"/>
      <c r="CJ43" s="42"/>
      <c r="CK43" s="44"/>
      <c r="CL43" s="45"/>
      <c r="CW43" s="347"/>
      <c r="CX43" s="347"/>
      <c r="CY43" s="347" t="s">
        <v>290</v>
      </c>
      <c r="CZ43" s="347">
        <f>INDEX(Model!AC7:AC14,'2.Cooling'!CZ31)</f>
        <v>0</v>
      </c>
      <c r="DA43" s="347"/>
      <c r="DB43" s="347"/>
      <c r="DC43" s="347"/>
      <c r="DD43" s="283"/>
      <c r="DE43" s="247"/>
    </row>
    <row r="44" spans="2:151" ht="10.5" customHeight="1">
      <c r="B44" s="34"/>
      <c r="C44" s="160" t="s">
        <v>297</v>
      </c>
      <c r="D44" s="148"/>
      <c r="E44" s="148"/>
      <c r="F44" s="172">
        <f>Tsw</f>
        <v>20</v>
      </c>
      <c r="G44" s="158" t="s">
        <v>12</v>
      </c>
      <c r="H44" s="148"/>
      <c r="I44" s="156"/>
      <c r="J44" s="61"/>
      <c r="K44" s="30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8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278"/>
      <c r="BX44" s="280"/>
      <c r="BY44" s="280"/>
      <c r="BZ44" s="279"/>
      <c r="CA44" s="279"/>
      <c r="CB44" s="279"/>
      <c r="CC44" s="279"/>
      <c r="CD44" s="279"/>
      <c r="CE44" s="279"/>
      <c r="CF44" s="279"/>
      <c r="CG44" s="279"/>
      <c r="CH44" s="279"/>
      <c r="CI44" s="279"/>
      <c r="CJ44" s="65"/>
      <c r="CK44" s="66"/>
      <c r="CL44" s="16"/>
      <c r="CW44" s="347"/>
      <c r="CX44" s="347"/>
      <c r="CY44" s="347"/>
      <c r="CZ44" s="347"/>
      <c r="DA44" s="347"/>
      <c r="DB44" s="347"/>
      <c r="DC44" s="347"/>
      <c r="DD44" s="283"/>
      <c r="DE44" s="247"/>
    </row>
    <row r="45" spans="2:151" ht="10.5" customHeight="1">
      <c r="B45" s="34"/>
      <c r="C45" s="157"/>
      <c r="D45" s="149"/>
      <c r="E45" s="149"/>
      <c r="F45" s="150"/>
      <c r="G45" s="149"/>
      <c r="H45" s="149"/>
      <c r="I45" s="161"/>
      <c r="J45" s="61"/>
      <c r="K45" s="30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278"/>
      <c r="BX45" s="280"/>
      <c r="BY45" s="280"/>
      <c r="BZ45" s="279"/>
      <c r="CA45" s="279"/>
      <c r="CB45" s="279"/>
      <c r="CC45" s="279"/>
      <c r="CD45" s="279"/>
      <c r="CE45" s="279"/>
      <c r="CF45" s="279"/>
      <c r="CG45" s="279"/>
      <c r="CH45" s="279"/>
      <c r="CI45" s="279"/>
      <c r="CJ45" s="65"/>
      <c r="CK45" s="66"/>
      <c r="CL45" s="16"/>
      <c r="CW45" s="347"/>
      <c r="CX45" s="347"/>
      <c r="CY45" s="347" t="s">
        <v>264</v>
      </c>
      <c r="CZ45" s="347"/>
      <c r="DA45" s="347"/>
      <c r="DB45" s="347"/>
      <c r="DC45" s="347"/>
      <c r="DD45" s="283"/>
      <c r="DE45" s="247"/>
    </row>
    <row r="46" spans="2:151" ht="10.5" customHeight="1">
      <c r="B46" s="34"/>
      <c r="C46" s="160" t="s">
        <v>94</v>
      </c>
      <c r="D46" s="149"/>
      <c r="E46" s="149"/>
      <c r="F46" s="172">
        <f>uwind</f>
        <v>2</v>
      </c>
      <c r="G46" s="151" t="s">
        <v>95</v>
      </c>
      <c r="H46" s="149"/>
      <c r="I46" s="161"/>
      <c r="J46" s="61"/>
      <c r="K46" s="67"/>
      <c r="L46" s="65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  <c r="BS46" s="31"/>
      <c r="BT46" s="31"/>
      <c r="BU46" s="31"/>
      <c r="BV46" s="31"/>
      <c r="BW46" s="31"/>
      <c r="BX46" s="65"/>
      <c r="BY46" s="65"/>
      <c r="BZ46" s="62"/>
      <c r="CA46" s="62"/>
      <c r="CB46" s="62"/>
      <c r="CC46" s="62"/>
      <c r="CD46" s="62"/>
      <c r="CE46" s="62"/>
      <c r="CF46" s="62"/>
      <c r="CG46" s="62"/>
      <c r="CH46" s="62"/>
      <c r="CI46" s="62"/>
      <c r="CJ46" s="65"/>
      <c r="CK46" s="66"/>
      <c r="CL46" s="16"/>
      <c r="CW46" s="347"/>
      <c r="CX46" s="347"/>
      <c r="CY46" s="347" t="str">
        <f>IF(CZ35=0,"","Discharge")</f>
        <v>Discharge</v>
      </c>
      <c r="CZ46" s="347"/>
      <c r="DA46" s="347"/>
      <c r="DB46" s="347"/>
      <c r="DC46" s="347"/>
      <c r="DD46" s="283"/>
      <c r="DE46" s="247"/>
    </row>
    <row r="47" spans="2:151" ht="10.5" customHeight="1">
      <c r="B47" s="34"/>
      <c r="C47" s="160"/>
      <c r="I47" s="302"/>
      <c r="J47" s="61"/>
      <c r="K47" s="67"/>
      <c r="L47" s="65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81"/>
      <c r="BE47" s="81"/>
      <c r="BF47" s="31"/>
      <c r="BG47" s="31"/>
      <c r="BH47" s="31"/>
      <c r="BI47" s="31"/>
      <c r="BJ47" s="31"/>
      <c r="BK47" s="31"/>
      <c r="BL47" s="31"/>
      <c r="BM47" s="31"/>
      <c r="BN47" s="31"/>
      <c r="BO47" s="68"/>
      <c r="BP47" s="31"/>
      <c r="BQ47" s="31"/>
      <c r="BR47" s="31"/>
      <c r="BS47" s="31"/>
      <c r="BT47" s="31"/>
      <c r="BU47" s="31"/>
      <c r="BV47" s="31"/>
      <c r="BW47" s="31"/>
      <c r="BX47" s="65"/>
      <c r="BY47" s="65"/>
      <c r="BZ47" s="62"/>
      <c r="CA47" s="62"/>
      <c r="CB47" s="62"/>
      <c r="CC47" s="62"/>
      <c r="CD47" s="62"/>
      <c r="CE47" s="62"/>
      <c r="CF47" s="62"/>
      <c r="CG47" s="62"/>
      <c r="CH47" s="62"/>
      <c r="CI47" s="62"/>
      <c r="CJ47" s="65"/>
      <c r="CK47" s="66"/>
      <c r="CL47" s="16"/>
      <c r="CW47" s="347"/>
      <c r="CX47" s="347"/>
      <c r="CY47" s="347" t="str">
        <f>IF(CZ33=0,"","Evaporation")</f>
        <v>Evaporation</v>
      </c>
      <c r="CZ47" s="347"/>
      <c r="DA47" s="347"/>
      <c r="DB47" s="347"/>
      <c r="DC47" s="347"/>
      <c r="DD47" s="283"/>
      <c r="DE47" s="247"/>
    </row>
    <row r="48" spans="2:151" ht="10.5" customHeight="1">
      <c r="B48" s="34"/>
      <c r="C48" s="159" t="s">
        <v>298</v>
      </c>
      <c r="I48" s="156"/>
      <c r="J48" s="69"/>
      <c r="K48" s="67"/>
      <c r="L48" s="65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1"/>
      <c r="BX48" s="65"/>
      <c r="BY48" s="65"/>
      <c r="BZ48" s="65"/>
      <c r="CA48" s="65"/>
      <c r="CB48" s="65"/>
      <c r="CC48" s="65"/>
      <c r="CD48" s="65"/>
      <c r="CE48" s="65"/>
      <c r="CF48" s="65"/>
      <c r="CG48" s="65"/>
      <c r="CH48" s="65"/>
      <c r="CI48" s="65"/>
      <c r="CJ48" s="65"/>
      <c r="CK48" s="66"/>
      <c r="CL48" s="16"/>
      <c r="CW48" s="349"/>
      <c r="CX48" s="349"/>
      <c r="CY48" s="349"/>
      <c r="CZ48" s="349"/>
      <c r="DA48" s="349"/>
      <c r="DB48" s="349"/>
      <c r="DC48" s="349"/>
      <c r="DD48" s="284"/>
      <c r="DE48" s="247"/>
    </row>
    <row r="49" spans="2:108" ht="10.5" customHeight="1">
      <c r="B49" s="34"/>
      <c r="C49" s="155" t="s">
        <v>4</v>
      </c>
      <c r="D49" s="148"/>
      <c r="E49" s="148"/>
      <c r="F49" s="172">
        <f>COC</f>
        <v>6</v>
      </c>
      <c r="G49" s="158"/>
      <c r="H49" s="148"/>
      <c r="I49" s="161"/>
      <c r="J49" s="69"/>
      <c r="K49" s="67"/>
      <c r="L49" s="65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65"/>
      <c r="BY49" s="65"/>
      <c r="BZ49" s="65"/>
      <c r="CA49" s="65"/>
      <c r="CB49" s="65"/>
      <c r="CC49" s="65"/>
      <c r="CD49" s="65"/>
      <c r="CE49" s="65"/>
      <c r="CF49" s="65"/>
      <c r="CG49" s="65"/>
      <c r="CH49" s="65"/>
      <c r="CI49" s="65"/>
      <c r="CJ49" s="65"/>
      <c r="CK49" s="66"/>
      <c r="CL49" s="16"/>
      <c r="CW49" s="349"/>
      <c r="CX49" s="349"/>
      <c r="CY49" s="349"/>
      <c r="CZ49" s="349"/>
      <c r="DA49" s="349"/>
      <c r="DB49" s="349"/>
      <c r="DC49" s="349"/>
      <c r="DD49" s="284"/>
    </row>
    <row r="50" spans="2:108" ht="10.5" customHeight="1">
      <c r="B50" s="34"/>
      <c r="J50" s="69"/>
      <c r="K50" s="67"/>
      <c r="L50" s="65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65"/>
      <c r="BY50" s="65"/>
      <c r="BZ50" s="65"/>
      <c r="CA50" s="65"/>
      <c r="CB50" s="65"/>
      <c r="CC50" s="65"/>
      <c r="CD50" s="65" t="str">
        <f>IF(chkFlagUnits=1,"m3/s","m3/MWh")</f>
        <v>m3/MWh</v>
      </c>
      <c r="CE50" s="65"/>
      <c r="CF50" s="65"/>
      <c r="CG50" s="65"/>
      <c r="CH50" s="65"/>
      <c r="CI50" s="65"/>
      <c r="CJ50" s="65"/>
      <c r="CK50" s="66"/>
      <c r="CL50" s="16"/>
      <c r="CW50" s="349"/>
      <c r="CX50" s="350"/>
      <c r="CY50" s="350"/>
      <c r="CZ50" s="349"/>
      <c r="DA50" s="349"/>
      <c r="DB50" s="349"/>
      <c r="DC50" s="349"/>
    </row>
    <row r="51" spans="2:108" ht="9" customHeight="1">
      <c r="B51" s="34"/>
      <c r="J51" s="69"/>
      <c r="K51" s="70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1"/>
      <c r="AS51" s="71"/>
      <c r="AT51" s="71"/>
      <c r="AU51" s="71"/>
      <c r="AV51" s="71"/>
      <c r="AW51" s="71"/>
      <c r="AX51" s="71"/>
      <c r="AY51" s="71"/>
      <c r="AZ51" s="71"/>
      <c r="BA51" s="71"/>
      <c r="BB51" s="71"/>
      <c r="BC51" s="71"/>
      <c r="BD51" s="71"/>
      <c r="BE51" s="71"/>
      <c r="BF51" s="71"/>
      <c r="BG51" s="71"/>
      <c r="BH51" s="71"/>
      <c r="BI51" s="71"/>
      <c r="BJ51" s="71"/>
      <c r="BK51" s="71"/>
      <c r="BL51" s="71"/>
      <c r="BM51" s="71"/>
      <c r="BN51" s="71"/>
      <c r="BO51" s="71"/>
      <c r="BP51" s="71"/>
      <c r="BQ51" s="71"/>
      <c r="BR51" s="71"/>
      <c r="BS51" s="71"/>
      <c r="BT51" s="71"/>
      <c r="BU51" s="71"/>
      <c r="BV51" s="71"/>
      <c r="BW51" s="71"/>
      <c r="BX51" s="71"/>
      <c r="BY51" s="71"/>
      <c r="BZ51" s="71"/>
      <c r="CA51" s="71"/>
      <c r="CB51" s="71"/>
      <c r="CC51" s="71"/>
      <c r="CD51" s="71"/>
      <c r="CE51" s="71"/>
      <c r="CF51" s="71"/>
      <c r="CG51" s="71"/>
      <c r="CH51" s="71"/>
      <c r="CI51" s="71"/>
      <c r="CJ51" s="71"/>
      <c r="CK51" s="72"/>
      <c r="CL51" s="16"/>
      <c r="CX51" s="63"/>
      <c r="CY51" s="63"/>
    </row>
    <row r="52" spans="2:108" ht="12" customHeight="1">
      <c r="B52" s="73"/>
      <c r="C52" s="74"/>
      <c r="D52" s="75"/>
      <c r="E52" s="75"/>
      <c r="F52" s="75"/>
      <c r="G52" s="75"/>
      <c r="H52" s="75"/>
      <c r="I52" s="75"/>
      <c r="J52" s="74"/>
      <c r="K52" s="76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  <c r="BD52" s="78"/>
      <c r="BE52" s="78"/>
      <c r="BF52" s="78"/>
      <c r="BG52" s="78"/>
      <c r="BH52" s="78"/>
      <c r="BI52" s="78"/>
      <c r="BJ52" s="78"/>
      <c r="BK52" s="78"/>
      <c r="BL52" s="78"/>
      <c r="BM52" s="78"/>
      <c r="BN52" s="78"/>
      <c r="BO52" s="78"/>
      <c r="BP52" s="78"/>
      <c r="BQ52" s="78"/>
      <c r="BR52" s="78"/>
      <c r="BS52" s="78"/>
      <c r="BT52" s="78"/>
      <c r="BU52" s="78"/>
      <c r="BV52" s="78"/>
      <c r="BW52" s="78"/>
      <c r="BX52" s="78"/>
      <c r="BY52" s="78"/>
      <c r="BZ52" s="78"/>
      <c r="CA52" s="78"/>
      <c r="CB52" s="78"/>
      <c r="CC52" s="78"/>
      <c r="CD52" s="78"/>
      <c r="CE52" s="78"/>
      <c r="CF52" s="78"/>
      <c r="CG52" s="78"/>
      <c r="CH52" s="78"/>
      <c r="CI52" s="78"/>
      <c r="CJ52" s="78"/>
      <c r="CK52" s="78"/>
      <c r="CL52" s="79"/>
      <c r="CX52" s="63"/>
      <c r="CY52" s="63"/>
    </row>
    <row r="53" spans="2:108" ht="10.5" customHeight="1">
      <c r="CX53" s="63"/>
      <c r="CY53" s="63"/>
    </row>
    <row r="54" spans="2:108" ht="10.5" customHeight="1">
      <c r="CX54" s="80"/>
      <c r="CY54" s="80"/>
    </row>
    <row r="55" spans="2:108" ht="10.5" customHeight="1">
      <c r="CX55" s="80"/>
      <c r="CY55" s="80"/>
    </row>
    <row r="56" spans="2:108" ht="10.5" customHeight="1">
      <c r="CX56" s="80"/>
      <c r="CY56" s="80"/>
    </row>
    <row r="57" spans="2:108" ht="10.5" customHeight="1">
      <c r="CX57" s="80"/>
      <c r="CY57" s="80"/>
    </row>
    <row r="58" spans="2:108" ht="10.5" customHeight="1">
      <c r="CX58" s="80"/>
      <c r="CY58" s="80"/>
    </row>
    <row r="59" spans="2:108" ht="10.5" customHeight="1">
      <c r="CX59" s="80"/>
      <c r="CY59" s="80"/>
    </row>
    <row r="60" spans="2:108" ht="10.5" customHeight="1">
      <c r="CX60" s="80"/>
      <c r="CY60" s="80"/>
    </row>
    <row r="61" spans="2:108" ht="10.5" customHeight="1">
      <c r="CX61" s="80"/>
      <c r="CY61" s="80"/>
    </row>
    <row r="62" spans="2:108" ht="10.5" customHeight="1">
      <c r="CX62" s="80"/>
      <c r="CY62" s="80"/>
    </row>
    <row r="63" spans="2:108">
      <c r="CX63" s="80"/>
      <c r="CY63" s="80"/>
    </row>
    <row r="64" spans="2:108">
      <c r="CX64" s="80"/>
      <c r="CY64" s="80"/>
    </row>
    <row r="65" spans="102:103">
      <c r="CX65" s="80"/>
      <c r="CY65" s="80"/>
    </row>
    <row r="66" spans="102:103">
      <c r="CX66" s="80"/>
      <c r="CY66" s="80"/>
    </row>
    <row r="67" spans="102:103">
      <c r="CX67" s="80"/>
      <c r="CY67" s="80"/>
    </row>
    <row r="68" spans="102:103">
      <c r="CX68" s="80"/>
      <c r="CY68" s="80"/>
    </row>
    <row r="69" spans="102:103">
      <c r="CX69" s="80"/>
      <c r="CY69" s="80"/>
    </row>
    <row r="70" spans="102:103">
      <c r="CX70" s="80"/>
      <c r="CY70" s="80"/>
    </row>
    <row r="71" spans="102:103">
      <c r="CX71" s="80"/>
      <c r="CY71" s="80"/>
    </row>
    <row r="72" spans="102:103">
      <c r="CX72" s="80"/>
      <c r="CY72" s="80"/>
    </row>
    <row r="73" spans="102:103">
      <c r="CX73" s="80"/>
      <c r="CY73" s="80"/>
    </row>
    <row r="74" spans="102:103">
      <c r="CX74" s="80"/>
      <c r="CY74" s="80"/>
    </row>
    <row r="75" spans="102:103">
      <c r="CX75" s="80"/>
      <c r="CY75" s="80"/>
    </row>
    <row r="76" spans="102:103">
      <c r="CX76" s="80"/>
      <c r="CY76" s="80"/>
    </row>
    <row r="77" spans="102:103">
      <c r="CX77" s="80"/>
      <c r="CY77" s="80"/>
    </row>
    <row r="78" spans="102:103">
      <c r="CX78" s="80"/>
      <c r="CY78" s="80"/>
    </row>
    <row r="79" spans="102:103">
      <c r="CX79" s="80"/>
      <c r="CY79" s="80"/>
    </row>
    <row r="80" spans="102:103">
      <c r="CX80" s="80"/>
      <c r="CY80" s="80"/>
    </row>
    <row r="81" spans="102:103">
      <c r="CX81" s="80"/>
      <c r="CY81" s="80"/>
    </row>
    <row r="82" spans="102:103">
      <c r="CX82" s="80"/>
      <c r="CY82" s="80"/>
    </row>
  </sheetData>
  <sheetProtection selectLockedCells="1"/>
  <mergeCells count="35">
    <mergeCell ref="F29:H29"/>
    <mergeCell ref="C27:E27"/>
    <mergeCell ref="F27:H27"/>
    <mergeCell ref="F28:H28"/>
    <mergeCell ref="AL5:AV5"/>
    <mergeCell ref="AW5:BI5"/>
    <mergeCell ref="C28:E28"/>
    <mergeCell ref="AY8:BO10"/>
    <mergeCell ref="BJ5:BU5"/>
    <mergeCell ref="C7:I8"/>
    <mergeCell ref="L5:V5"/>
    <mergeCell ref="W5:X5"/>
    <mergeCell ref="M8:AA10"/>
    <mergeCell ref="Y5:AK5"/>
    <mergeCell ref="C19:E19"/>
    <mergeCell ref="F19:I19"/>
    <mergeCell ref="C20:E21"/>
    <mergeCell ref="F20:I21"/>
    <mergeCell ref="C23:I24"/>
    <mergeCell ref="F31:H31"/>
    <mergeCell ref="C34:I35"/>
    <mergeCell ref="B5:C5"/>
    <mergeCell ref="E5:F5"/>
    <mergeCell ref="G5:H5"/>
    <mergeCell ref="I5:J5"/>
    <mergeCell ref="C9:I10"/>
    <mergeCell ref="C17:I18"/>
    <mergeCell ref="C25:I26"/>
    <mergeCell ref="C11:E11"/>
    <mergeCell ref="F11:I11"/>
    <mergeCell ref="C12:E13"/>
    <mergeCell ref="F12:I13"/>
    <mergeCell ref="F30:H30"/>
    <mergeCell ref="C29:E29"/>
    <mergeCell ref="C30:E30"/>
  </mergeCells>
  <conditionalFormatting sqref="J10:J47">
    <cfRule type="cellIs" dxfId="1" priority="15" operator="lessThan">
      <formula>-0.00001</formula>
    </cfRule>
  </conditionalFormatting>
  <conditionalFormatting sqref="C33:I33">
    <cfRule type="cellIs" dxfId="0" priority="14" operator="lessThan">
      <formula>-0.00001</formula>
    </cfRule>
  </conditionalFormatting>
  <conditionalFormatting sqref="F27:H31">
    <cfRule type="dataBar" priority="1">
      <dataBar showValue="0">
        <cfvo type="min"/>
        <cfvo type="max"/>
        <color theme="5"/>
      </dataBar>
      <extLst>
        <ext xmlns:x14="http://schemas.microsoft.com/office/spreadsheetml/2009/9/main" uri="{B025F937-C7B1-47D3-B67F-A62EFF666E3E}">
          <x14:id>{DE71E4EE-9BDB-45BA-BB2F-9E8B5ED03B58}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Option Button 2">
              <controlPr defaultSize="0" autoFill="0" autoLine="0" autoPict="0">
                <anchor moveWithCells="1">
                  <from>
                    <xdr:col>5</xdr:col>
                    <xdr:colOff>266700</xdr:colOff>
                    <xdr:row>8</xdr:row>
                    <xdr:rowOff>19050</xdr:rowOff>
                  </from>
                  <to>
                    <xdr:col>7</xdr:col>
                    <xdr:colOff>133350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Option Button 3">
              <controlPr defaultSize="0" autoFill="0" autoLine="0" autoPict="0">
                <anchor moveWithCells="1">
                  <from>
                    <xdr:col>7</xdr:col>
                    <xdr:colOff>95250</xdr:colOff>
                    <xdr:row>8</xdr:row>
                    <xdr:rowOff>19050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Drop Down 4">
              <controlPr locked="0" defaultSize="0" print="0" autoLine="0" autoPict="0" macro="[0]!DrawFigures">
                <anchor>
                  <from>
                    <xdr:col>27</xdr:col>
                    <xdr:colOff>57150</xdr:colOff>
                    <xdr:row>7</xdr:row>
                    <xdr:rowOff>0</xdr:rowOff>
                  </from>
                  <to>
                    <xdr:col>49</xdr:col>
                    <xdr:colOff>19050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Scroll Bar 5">
              <controlPr defaultSize="0" autoPict="0">
                <anchor moveWithCells="1">
                  <from>
                    <xdr:col>7</xdr:col>
                    <xdr:colOff>66675</xdr:colOff>
                    <xdr:row>39</xdr:row>
                    <xdr:rowOff>19050</xdr:rowOff>
                  </from>
                  <to>
                    <xdr:col>8</xdr:col>
                    <xdr:colOff>161925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Scroll Bar 6">
              <controlPr defaultSize="0" autoPict="0">
                <anchor moveWithCells="1">
                  <from>
                    <xdr:col>7</xdr:col>
                    <xdr:colOff>66675</xdr:colOff>
                    <xdr:row>41</xdr:row>
                    <xdr:rowOff>9525</xdr:rowOff>
                  </from>
                  <to>
                    <xdr:col>8</xdr:col>
                    <xdr:colOff>161925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9" name="Scroll Bar 8">
              <controlPr defaultSize="0" autoPict="0">
                <anchor moveWithCells="1">
                  <from>
                    <xdr:col>7</xdr:col>
                    <xdr:colOff>66675</xdr:colOff>
                    <xdr:row>45</xdr:row>
                    <xdr:rowOff>0</xdr:rowOff>
                  </from>
                  <to>
                    <xdr:col>8</xdr:col>
                    <xdr:colOff>161925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0" name="Scroll Bar 9">
              <controlPr defaultSize="0" autoPict="0">
                <anchor moveWithCells="1">
                  <from>
                    <xdr:col>7</xdr:col>
                    <xdr:colOff>57150</xdr:colOff>
                    <xdr:row>35</xdr:row>
                    <xdr:rowOff>114300</xdr:rowOff>
                  </from>
                  <to>
                    <xdr:col>8</xdr:col>
                    <xdr:colOff>152400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1" name="Scroll Bar 10">
              <controlPr defaultSize="0" autoPict="0">
                <anchor moveWithCells="1">
                  <from>
                    <xdr:col>7</xdr:col>
                    <xdr:colOff>57150</xdr:colOff>
                    <xdr:row>47</xdr:row>
                    <xdr:rowOff>76200</xdr:rowOff>
                  </from>
                  <to>
                    <xdr:col>8</xdr:col>
                    <xdr:colOff>152400</xdr:colOff>
                    <xdr:row>48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2" name="Scroll Bar 12">
              <controlPr defaultSize="0" autoPict="0">
                <anchor moveWithCells="1">
                  <from>
                    <xdr:col>7</xdr:col>
                    <xdr:colOff>57150</xdr:colOff>
                    <xdr:row>43</xdr:row>
                    <xdr:rowOff>9525</xdr:rowOff>
                  </from>
                  <to>
                    <xdr:col>8</xdr:col>
                    <xdr:colOff>152400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0" r:id="rId13" name="Button 160">
              <controlPr defaultSize="0" print="0" autoFill="0" autoPict="0" macro="[0]!Home">
                <anchor moveWithCells="1" sizeWithCells="1">
                  <from>
                    <xdr:col>2</xdr:col>
                    <xdr:colOff>28575</xdr:colOff>
                    <xdr:row>4</xdr:row>
                    <xdr:rowOff>0</xdr:rowOff>
                  </from>
                  <to>
                    <xdr:col>4</xdr:col>
                    <xdr:colOff>200025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2" r:id="rId14" name="cmbTreat">
              <controlPr locked="0" defaultSize="0" print="0" autoLine="0" autoPict="0" macro="[0]!changetreatment">
                <anchor>
                  <from>
                    <xdr:col>68</xdr:col>
                    <xdr:colOff>0</xdr:colOff>
                    <xdr:row>7</xdr:row>
                    <xdr:rowOff>0</xdr:rowOff>
                  </from>
                  <to>
                    <xdr:col>80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7" r:id="rId15" name="btnWaterQ">
              <controlPr defaultSize="0" print="0" autoFill="0" autoPict="0" macro="[0]!waterQuality">
                <anchor moveWithCells="1">
                  <from>
                    <xdr:col>80</xdr:col>
                    <xdr:colOff>57150</xdr:colOff>
                    <xdr:row>6</xdr:row>
                    <xdr:rowOff>104775</xdr:rowOff>
                  </from>
                  <to>
                    <xdr:col>86</xdr:col>
                    <xdr:colOff>85725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71E4EE-9BDB-45BA-BB2F-9E8B5ED03B5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F27:H31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92D050"/>
  </sheetPr>
  <dimension ref="A1:K216"/>
  <sheetViews>
    <sheetView showGridLines="0" showRuler="0" view="pageLayout" topLeftCell="A62" zoomScale="90" zoomScaleNormal="100" zoomScalePageLayoutView="90" workbookViewId="0">
      <selection activeCell="G74" sqref="G74"/>
    </sheetView>
  </sheetViews>
  <sheetFormatPr defaultColWidth="7" defaultRowHeight="12.75"/>
  <cols>
    <col min="1" max="1" width="3.125" style="178" customWidth="1"/>
    <col min="2" max="2" width="15.25" style="178" customWidth="1"/>
    <col min="3" max="3" width="9" style="178" customWidth="1"/>
    <col min="4" max="4" width="12.25" style="178" customWidth="1"/>
    <col min="5" max="5" width="9.375" style="178" customWidth="1"/>
    <col min="6" max="6" width="7" style="178"/>
    <col min="7" max="7" width="5.25" style="178" customWidth="1"/>
    <col min="8" max="8" width="6.5" style="178" customWidth="1"/>
    <col min="9" max="9" width="4.75" style="178" customWidth="1"/>
    <col min="10" max="10" width="6.75" style="178" customWidth="1"/>
    <col min="11" max="11" width="7" style="178" customWidth="1"/>
    <col min="12" max="12" width="10.25" style="178" bestFit="1" customWidth="1"/>
    <col min="13" max="13" width="7" style="178"/>
    <col min="14" max="14" width="10.25" style="178" bestFit="1" customWidth="1"/>
    <col min="15" max="15" width="7" style="178" customWidth="1"/>
    <col min="16" max="16384" width="7" style="178"/>
  </cols>
  <sheetData>
    <row r="1" spans="1:11" ht="13.5" thickBot="1"/>
    <row r="2" spans="1:11">
      <c r="A2" s="179"/>
      <c r="B2" s="180"/>
      <c r="C2" s="180"/>
      <c r="D2" s="180"/>
      <c r="E2" s="180"/>
      <c r="F2" s="180"/>
      <c r="G2" s="180"/>
      <c r="H2" s="180"/>
      <c r="I2" s="180"/>
      <c r="J2" s="181"/>
    </row>
    <row r="3" spans="1:11" ht="20.25">
      <c r="A3" s="182"/>
      <c r="B3" s="183" t="s">
        <v>260</v>
      </c>
      <c r="C3" s="184"/>
      <c r="D3" s="184"/>
      <c r="E3" s="242" t="s">
        <v>151</v>
      </c>
      <c r="F3" s="186"/>
      <c r="G3" s="184"/>
      <c r="H3" s="184"/>
      <c r="I3" s="186"/>
      <c r="J3" s="187"/>
    </row>
    <row r="4" spans="1:11" ht="15.75">
      <c r="A4" s="182"/>
      <c r="B4" s="189" t="s">
        <v>152</v>
      </c>
      <c r="C4" s="184"/>
      <c r="D4" s="184"/>
      <c r="E4" s="185" t="str">
        <f>CaseName</f>
        <v>Case 1</v>
      </c>
      <c r="F4" s="184"/>
      <c r="G4" s="184"/>
      <c r="H4" s="184"/>
      <c r="I4" s="184"/>
      <c r="J4" s="187"/>
    </row>
    <row r="5" spans="1:11">
      <c r="A5" s="191"/>
      <c r="B5" s="192"/>
      <c r="C5" s="192"/>
      <c r="D5" s="192"/>
      <c r="E5" s="192"/>
      <c r="F5" s="192"/>
      <c r="G5" s="192"/>
      <c r="H5" s="192"/>
      <c r="I5" s="192"/>
      <c r="J5" s="193"/>
    </row>
    <row r="6" spans="1:11" ht="12.75" customHeight="1">
      <c r="A6" s="182"/>
      <c r="B6" s="184"/>
      <c r="C6" s="184"/>
      <c r="D6" s="184"/>
      <c r="E6" s="184"/>
      <c r="F6" s="184"/>
      <c r="G6" s="184"/>
      <c r="H6" s="184"/>
      <c r="I6" s="184"/>
      <c r="J6" s="187"/>
    </row>
    <row r="7" spans="1:11" ht="12.75" customHeight="1">
      <c r="A7" s="182"/>
      <c r="B7" s="194" t="s">
        <v>187</v>
      </c>
      <c r="C7" s="192"/>
      <c r="D7" s="192"/>
      <c r="E7" s="192"/>
      <c r="F7" s="192"/>
      <c r="G7" s="192"/>
      <c r="H7" s="192"/>
      <c r="I7" s="192"/>
      <c r="J7" s="187"/>
    </row>
    <row r="8" spans="1:11" ht="12.75" customHeight="1">
      <c r="A8" s="182"/>
      <c r="B8" s="186" t="s">
        <v>48</v>
      </c>
      <c r="C8" s="186"/>
      <c r="D8" s="186"/>
      <c r="E8" s="379" t="str">
        <f>IF(Model!D7=1,"Heavy Water Reactor", "Light Water Reactor")</f>
        <v>Heavy Water Reactor</v>
      </c>
      <c r="F8" s="186"/>
      <c r="G8" s="186"/>
      <c r="H8" s="186"/>
      <c r="I8" s="186"/>
      <c r="J8" s="187"/>
    </row>
    <row r="9" spans="1:11" ht="12.75" customHeight="1">
      <c r="A9" s="182"/>
      <c r="B9" s="195" t="s">
        <v>153</v>
      </c>
      <c r="C9" s="186"/>
      <c r="D9" s="186"/>
      <c r="E9" s="377">
        <f>Pen</f>
        <v>100</v>
      </c>
      <c r="F9" s="186" t="s">
        <v>58</v>
      </c>
      <c r="G9" s="186"/>
      <c r="H9" s="186"/>
      <c r="I9" s="184"/>
      <c r="J9" s="187"/>
      <c r="K9" s="202"/>
    </row>
    <row r="10" spans="1:11" ht="12.75" customHeight="1">
      <c r="A10" s="182"/>
      <c r="B10" s="195" t="s">
        <v>154</v>
      </c>
      <c r="C10" s="186"/>
      <c r="D10" s="186"/>
      <c r="E10" s="377">
        <f>Pen/Ebpnr</f>
        <v>1000</v>
      </c>
      <c r="F10" s="186" t="s">
        <v>59</v>
      </c>
      <c r="G10" s="184"/>
      <c r="H10" s="184"/>
      <c r="I10" s="184"/>
      <c r="J10" s="187"/>
    </row>
    <row r="11" spans="1:11" ht="12.75" customHeight="1">
      <c r="A11" s="182"/>
      <c r="B11" s="195" t="s">
        <v>155</v>
      </c>
      <c r="C11" s="186"/>
      <c r="D11" s="186"/>
      <c r="E11" s="378">
        <f>Ebpnr</f>
        <v>0.1</v>
      </c>
      <c r="F11" s="186"/>
      <c r="G11" s="184"/>
      <c r="H11" s="184"/>
      <c r="I11" s="184"/>
      <c r="J11" s="187"/>
    </row>
    <row r="12" spans="1:11" ht="12.75" customHeight="1">
      <c r="A12" s="182"/>
      <c r="B12" s="200" t="s">
        <v>186</v>
      </c>
      <c r="C12" s="184"/>
      <c r="D12" s="186"/>
      <c r="E12" s="377">
        <f>Qcr</f>
        <v>900</v>
      </c>
      <c r="F12" s="184" t="s">
        <v>59</v>
      </c>
      <c r="G12" s="201"/>
      <c r="H12" s="184"/>
      <c r="I12" s="184"/>
      <c r="J12" s="187"/>
    </row>
    <row r="13" spans="1:11" ht="12.75" customHeight="1">
      <c r="A13" s="182"/>
      <c r="G13" s="186"/>
      <c r="H13" s="184"/>
      <c r="I13" s="184"/>
      <c r="J13" s="187"/>
    </row>
    <row r="14" spans="1:11" ht="12.75" customHeight="1">
      <c r="A14" s="182"/>
      <c r="G14" s="184"/>
      <c r="H14" s="184"/>
      <c r="I14" s="184"/>
      <c r="J14" s="187"/>
    </row>
    <row r="15" spans="1:11" ht="12.75" customHeight="1">
      <c r="A15" s="182"/>
      <c r="B15" s="184"/>
      <c r="C15" s="184"/>
      <c r="D15" s="184"/>
      <c r="E15" s="184"/>
      <c r="F15" s="184"/>
      <c r="G15" s="184"/>
      <c r="H15" s="184"/>
      <c r="I15" s="184"/>
      <c r="J15" s="187"/>
    </row>
    <row r="16" spans="1:11" ht="12.75" customHeight="1">
      <c r="A16" s="182"/>
      <c r="B16" s="186"/>
      <c r="C16" s="186"/>
      <c r="D16" s="186"/>
      <c r="E16" s="186"/>
      <c r="F16" s="186"/>
      <c r="G16" s="186"/>
      <c r="H16" s="186"/>
      <c r="I16" s="186"/>
      <c r="J16" s="187"/>
    </row>
    <row r="17" spans="1:10" ht="12.75" customHeight="1">
      <c r="A17" s="182"/>
      <c r="B17" s="194" t="s">
        <v>282</v>
      </c>
      <c r="C17" s="192"/>
      <c r="D17" s="192"/>
      <c r="E17" s="192"/>
      <c r="F17" s="192"/>
      <c r="G17" s="192"/>
      <c r="H17" s="192"/>
      <c r="I17" s="192"/>
      <c r="J17" s="187"/>
    </row>
    <row r="18" spans="1:10" ht="12.75" customHeight="1">
      <c r="A18" s="182"/>
      <c r="B18" s="178" t="s">
        <v>314</v>
      </c>
      <c r="E18" s="380" t="str">
        <f>INDEX({"River/Inland","Sea/Coast","Effluent"},FlagSource)</f>
        <v>River/Inland</v>
      </c>
      <c r="J18" s="187"/>
    </row>
    <row r="19" spans="1:10" ht="12.75" customHeight="1">
      <c r="A19" s="182"/>
      <c r="B19" s="184" t="s">
        <v>188</v>
      </c>
      <c r="C19" s="184"/>
      <c r="D19" s="184"/>
      <c r="E19" s="381">
        <f>Tair</f>
        <v>40</v>
      </c>
      <c r="F19" s="186" t="s">
        <v>12</v>
      </c>
      <c r="G19" s="184"/>
      <c r="H19" s="184"/>
      <c r="I19" s="184"/>
      <c r="J19" s="187"/>
    </row>
    <row r="20" spans="1:10" ht="12.75" customHeight="1">
      <c r="A20" s="182"/>
      <c r="B20" s="186" t="s">
        <v>189</v>
      </c>
      <c r="C20" s="186"/>
      <c r="D20" s="186"/>
      <c r="E20" s="382">
        <f>Twb</f>
        <v>25.169999999999998</v>
      </c>
      <c r="F20" s="186" t="s">
        <v>12</v>
      </c>
      <c r="G20" s="186"/>
      <c r="H20" s="186"/>
      <c r="I20" s="186"/>
      <c r="J20" s="187"/>
    </row>
    <row r="21" spans="1:10" ht="12.75" customHeight="1">
      <c r="A21" s="182"/>
      <c r="B21" s="186" t="s">
        <v>24</v>
      </c>
      <c r="C21" s="186"/>
      <c r="D21" s="186"/>
      <c r="E21" s="383">
        <f>RH</f>
        <v>0.3</v>
      </c>
      <c r="F21" s="186"/>
      <c r="G21" s="186"/>
      <c r="H21" s="186"/>
      <c r="I21" s="186"/>
      <c r="J21" s="187"/>
    </row>
    <row r="22" spans="1:10" ht="12.75" customHeight="1">
      <c r="A22" s="182"/>
      <c r="B22" s="186" t="s">
        <v>194</v>
      </c>
      <c r="C22" s="186"/>
      <c r="D22" s="186"/>
      <c r="E22" s="379">
        <f>Tsw</f>
        <v>20</v>
      </c>
      <c r="F22" s="186" t="s">
        <v>12</v>
      </c>
      <c r="G22" s="184"/>
      <c r="H22" s="184"/>
      <c r="I22" s="184"/>
      <c r="J22" s="187"/>
    </row>
    <row r="23" spans="1:10" ht="12.75" customHeight="1">
      <c r="A23" s="182"/>
      <c r="B23" s="184" t="s">
        <v>229</v>
      </c>
      <c r="C23" s="184"/>
      <c r="D23" s="186"/>
      <c r="E23" s="377">
        <f>uwind</f>
        <v>2</v>
      </c>
      <c r="F23" s="184" t="s">
        <v>95</v>
      </c>
      <c r="G23" s="214"/>
      <c r="H23" s="186"/>
      <c r="I23" s="186"/>
      <c r="J23" s="187"/>
    </row>
    <row r="24" spans="1:10" ht="12.75" customHeight="1">
      <c r="A24" s="182"/>
      <c r="B24" s="186" t="str">
        <f>IF(FlagSource=1,"River flow","")</f>
        <v>River flow</v>
      </c>
      <c r="C24" s="186"/>
      <c r="D24" s="186"/>
      <c r="E24" s="199">
        <f>IF(FlagSource=1,Friver,"")</f>
        <v>50</v>
      </c>
      <c r="F24" s="186" t="str">
        <f>IF(FlagSource=1,"m3/s","")</f>
        <v>m3/s</v>
      </c>
      <c r="G24" s="203"/>
      <c r="H24" s="184"/>
      <c r="I24" s="186"/>
      <c r="J24" s="187"/>
    </row>
    <row r="25" spans="1:10" ht="12.75" customHeight="1">
      <c r="A25" s="182"/>
      <c r="G25" s="203"/>
      <c r="H25" s="184"/>
      <c r="I25" s="184"/>
      <c r="J25" s="251"/>
    </row>
    <row r="26" spans="1:10" ht="12.75" customHeight="1">
      <c r="A26" s="182"/>
      <c r="B26" s="236" t="s">
        <v>243</v>
      </c>
      <c r="C26" s="192"/>
      <c r="D26" s="192"/>
      <c r="E26" s="192"/>
      <c r="F26" s="192"/>
      <c r="G26" s="192"/>
      <c r="H26" s="192"/>
      <c r="I26" s="192"/>
      <c r="J26" s="187"/>
    </row>
    <row r="27" spans="1:10" ht="12.75" customHeight="1">
      <c r="A27" s="182"/>
      <c r="B27" s="186"/>
      <c r="C27" s="186"/>
      <c r="D27" s="186"/>
      <c r="E27" s="237" t="s">
        <v>245</v>
      </c>
      <c r="F27" s="237"/>
      <c r="G27" s="237" t="s">
        <v>246</v>
      </c>
      <c r="H27" s="237"/>
      <c r="I27" s="237"/>
      <c r="J27" s="187"/>
    </row>
    <row r="28" spans="1:10" ht="12.75" customHeight="1">
      <c r="A28" s="182"/>
      <c r="B28" s="184" t="s">
        <v>173</v>
      </c>
      <c r="C28" s="184"/>
      <c r="D28" s="184"/>
      <c r="E28" s="382">
        <f>Fmcc</f>
        <v>21.495103893002149</v>
      </c>
      <c r="F28" s="184" t="s">
        <v>11</v>
      </c>
      <c r="G28" s="376">
        <v>1.2</v>
      </c>
      <c r="H28" s="184" t="s">
        <v>11</v>
      </c>
      <c r="I28" s="184"/>
      <c r="J28" s="187"/>
    </row>
    <row r="29" spans="1:10" ht="12.75" customHeight="1">
      <c r="A29" s="182"/>
      <c r="B29" s="186" t="s">
        <v>174</v>
      </c>
      <c r="C29" s="186"/>
      <c r="D29" s="186"/>
      <c r="E29" s="376">
        <f>E74</f>
        <v>0.40270899453701808</v>
      </c>
      <c r="F29" s="184" t="s">
        <v>11</v>
      </c>
      <c r="G29" s="376">
        <v>1.6E-2</v>
      </c>
      <c r="H29" s="184" t="s">
        <v>11</v>
      </c>
      <c r="I29" s="186"/>
      <c r="J29" s="187"/>
    </row>
    <row r="30" spans="1:10" ht="12.75" customHeight="1">
      <c r="A30" s="182"/>
      <c r="B30" s="184" t="s">
        <v>175</v>
      </c>
      <c r="C30" s="184"/>
      <c r="D30" s="184"/>
      <c r="E30" s="376">
        <f>E76</f>
        <v>7.6242778128803187E-2</v>
      </c>
      <c r="F30" s="184" t="s">
        <v>11</v>
      </c>
      <c r="G30" s="376">
        <v>1.0999999999999999E-2</v>
      </c>
      <c r="H30" s="184" t="s">
        <v>11</v>
      </c>
      <c r="I30" s="184"/>
      <c r="J30" s="187"/>
    </row>
    <row r="31" spans="1:10" ht="12.75" customHeight="1">
      <c r="A31" s="182"/>
      <c r="B31" s="186" t="s">
        <v>247</v>
      </c>
      <c r="C31" s="186"/>
      <c r="D31" s="186"/>
      <c r="E31" s="376">
        <f>E77</f>
        <v>0.48325079344442173</v>
      </c>
      <c r="F31" s="184" t="s">
        <v>11</v>
      </c>
      <c r="G31" s="376">
        <v>2.7E-2</v>
      </c>
      <c r="H31" s="184" t="s">
        <v>11</v>
      </c>
      <c r="I31" s="186"/>
      <c r="J31" s="187"/>
    </row>
    <row r="32" spans="1:10" ht="12.75" customHeight="1">
      <c r="A32" s="182"/>
      <c r="B32" s="186"/>
      <c r="C32" s="186"/>
      <c r="D32" s="186"/>
      <c r="E32" s="186"/>
      <c r="F32" s="186"/>
      <c r="G32" s="186"/>
      <c r="H32" s="186"/>
      <c r="I32" s="186"/>
      <c r="J32" s="187"/>
    </row>
    <row r="33" spans="1:10" ht="12.75" customHeight="1">
      <c r="A33" s="182"/>
      <c r="B33" s="184"/>
      <c r="C33" s="184"/>
      <c r="D33" s="184"/>
      <c r="E33" s="184"/>
      <c r="F33" s="184"/>
      <c r="G33" s="184"/>
      <c r="H33" s="184"/>
      <c r="I33" s="184"/>
      <c r="J33" s="187"/>
    </row>
    <row r="34" spans="1:10" ht="12.75" customHeight="1">
      <c r="A34" s="182"/>
      <c r="B34" s="241" t="s">
        <v>252</v>
      </c>
      <c r="C34" s="237"/>
      <c r="D34" s="237"/>
      <c r="E34" s="237"/>
      <c r="F34" s="237"/>
      <c r="G34" s="186"/>
      <c r="H34" s="186"/>
      <c r="I34" s="186"/>
      <c r="J34" s="187"/>
    </row>
    <row r="35" spans="1:10" ht="12.75" customHeight="1">
      <c r="A35" s="182"/>
      <c r="B35" s="209" t="s">
        <v>253</v>
      </c>
      <c r="C35" s="184"/>
      <c r="D35" s="184"/>
      <c r="E35" s="240">
        <f>SUM(E174:E176)</f>
        <v>-63300</v>
      </c>
      <c r="F35" s="184" t="s">
        <v>234</v>
      </c>
      <c r="G35" s="184"/>
      <c r="H35" s="184"/>
      <c r="I35" s="184"/>
      <c r="J35" s="187"/>
    </row>
    <row r="36" spans="1:10" ht="12.75" customHeight="1">
      <c r="A36" s="182"/>
      <c r="B36" s="209" t="s">
        <v>254</v>
      </c>
      <c r="C36" s="186"/>
      <c r="D36" s="186"/>
      <c r="E36" s="239">
        <f>SUM(E180:E181)</f>
        <v>5800</v>
      </c>
      <c r="F36" s="184" t="s">
        <v>234</v>
      </c>
      <c r="G36" s="186"/>
      <c r="H36" s="186"/>
      <c r="I36" s="186"/>
      <c r="J36" s="187"/>
    </row>
    <row r="37" spans="1:10" ht="12.75" customHeight="1">
      <c r="A37" s="182"/>
      <c r="B37" s="210" t="s">
        <v>255</v>
      </c>
      <c r="C37" s="184"/>
      <c r="D37" s="184"/>
      <c r="E37" s="186"/>
      <c r="F37" s="186"/>
      <c r="G37" s="184"/>
      <c r="H37" s="184"/>
      <c r="I37" s="184"/>
      <c r="J37" s="187"/>
    </row>
    <row r="38" spans="1:10" ht="12.75" customHeight="1">
      <c r="A38" s="182"/>
      <c r="B38" s="238" t="s">
        <v>258</v>
      </c>
      <c r="C38" s="186"/>
      <c r="D38" s="186"/>
      <c r="E38" s="239">
        <f>'2.Cooling'!C12*3600*24*30/1000</f>
        <v>45093.09803788588</v>
      </c>
      <c r="F38" s="234" t="s">
        <v>303</v>
      </c>
      <c r="G38" s="186"/>
      <c r="H38" s="186"/>
      <c r="I38" s="186"/>
      <c r="J38" s="187"/>
    </row>
    <row r="39" spans="1:10" ht="12.75" customHeight="1">
      <c r="A39" s="182"/>
      <c r="B39" s="238" t="s">
        <v>257</v>
      </c>
      <c r="C39" s="184"/>
      <c r="D39" s="184"/>
      <c r="E39" s="240">
        <f>SUM(E185:E191)</f>
        <v>1506.0858940416201</v>
      </c>
      <c r="F39" s="234" t="s">
        <v>275</v>
      </c>
      <c r="G39" s="184"/>
      <c r="H39" s="184"/>
      <c r="I39" s="184"/>
      <c r="J39" s="187"/>
    </row>
    <row r="40" spans="1:10" ht="12.75" customHeight="1">
      <c r="A40" s="182"/>
      <c r="B40" s="186"/>
      <c r="C40" s="186"/>
      <c r="D40" s="186"/>
      <c r="E40" s="186"/>
      <c r="F40" s="186"/>
      <c r="G40" s="186"/>
      <c r="H40" s="186"/>
      <c r="I40" s="186"/>
      <c r="J40" s="187"/>
    </row>
    <row r="41" spans="1:10" ht="12.75" customHeight="1">
      <c r="A41" s="182"/>
      <c r="B41" s="236" t="s">
        <v>251</v>
      </c>
      <c r="C41" s="192"/>
      <c r="D41" s="192"/>
      <c r="E41" s="192"/>
      <c r="F41" s="192"/>
      <c r="G41" s="184"/>
      <c r="H41" s="184"/>
      <c r="I41" s="184"/>
      <c r="J41" s="187"/>
    </row>
    <row r="42" spans="1:10" ht="12.75" customHeight="1">
      <c r="A42" s="182"/>
      <c r="B42" s="209" t="s">
        <v>248</v>
      </c>
      <c r="C42" s="186"/>
      <c r="D42" s="186"/>
      <c r="E42" s="239">
        <f ca="1">E195+E196+E198</f>
        <v>6518.6</v>
      </c>
      <c r="F42" s="184" t="s">
        <v>234</v>
      </c>
      <c r="G42" s="186"/>
      <c r="H42" s="186"/>
      <c r="I42" s="186"/>
      <c r="J42" s="187"/>
    </row>
    <row r="43" spans="1:10" ht="12.75" customHeight="1">
      <c r="A43" s="182"/>
      <c r="B43" s="210" t="s">
        <v>256</v>
      </c>
      <c r="C43" s="184"/>
      <c r="D43" s="184"/>
      <c r="E43" s="240">
        <f ca="1">SUM(E199:E208)+E197</f>
        <v>10405</v>
      </c>
      <c r="F43" s="184" t="s">
        <v>234</v>
      </c>
      <c r="G43" s="184"/>
      <c r="H43" s="184"/>
      <c r="I43" s="184"/>
      <c r="J43" s="187"/>
    </row>
    <row r="44" spans="1:10" ht="12.75" customHeight="1">
      <c r="A44" s="182"/>
      <c r="J44" s="187"/>
    </row>
    <row r="45" spans="1:10" ht="12.75" customHeight="1">
      <c r="A45" s="182"/>
      <c r="J45" s="187"/>
    </row>
    <row r="46" spans="1:10" ht="12.75" customHeight="1">
      <c r="A46" s="182"/>
      <c r="B46" s="194" t="s">
        <v>381</v>
      </c>
      <c r="C46" s="194"/>
      <c r="D46" s="194"/>
      <c r="E46" s="194"/>
      <c r="F46" s="194"/>
      <c r="G46" s="194"/>
      <c r="H46" s="192"/>
      <c r="I46" s="192"/>
      <c r="J46" s="187"/>
    </row>
    <row r="47" spans="1:10" ht="12.75" customHeight="1">
      <c r="A47" s="182"/>
      <c r="B47" s="305"/>
      <c r="C47" s="305"/>
      <c r="D47" s="305"/>
      <c r="E47" s="311" t="s">
        <v>379</v>
      </c>
      <c r="F47" s="311" t="s">
        <v>376</v>
      </c>
      <c r="G47" s="305"/>
      <c r="H47" s="184"/>
      <c r="I47" s="184"/>
      <c r="J47" s="187"/>
    </row>
    <row r="48" spans="1:10" ht="12.75" customHeight="1">
      <c r="A48" s="182"/>
      <c r="B48" s="305" t="s">
        <v>378</v>
      </c>
      <c r="C48" s="305"/>
      <c r="D48" s="305"/>
      <c r="E48" s="316">
        <f>D146</f>
        <v>0</v>
      </c>
      <c r="F48" s="317">
        <f>D107</f>
        <v>1.1784944228616747</v>
      </c>
      <c r="H48" s="184" t="s">
        <v>380</v>
      </c>
      <c r="I48" s="184"/>
      <c r="J48" s="187"/>
    </row>
    <row r="49" spans="1:10" ht="12.75" customHeight="1">
      <c r="A49" s="182"/>
      <c r="B49" s="305" t="s">
        <v>377</v>
      </c>
      <c r="E49" s="315">
        <f>D147</f>
        <v>1.7106988417520101</v>
      </c>
      <c r="F49" s="301">
        <f>D108</f>
        <v>0.47303999999999991</v>
      </c>
      <c r="H49" s="184" t="s">
        <v>380</v>
      </c>
      <c r="J49" s="187"/>
    </row>
    <row r="50" spans="1:10">
      <c r="A50" s="182"/>
      <c r="B50" s="305"/>
      <c r="C50" s="305"/>
      <c r="D50" s="305"/>
      <c r="E50" s="318">
        <f>SUM(E48:E49)</f>
        <v>1.7106988417520101</v>
      </c>
      <c r="F50" s="318">
        <f>SUM(F48:F49)</f>
        <v>1.6515344228616746</v>
      </c>
      <c r="G50" s="305">
        <f>SUM(E50:F50)</f>
        <v>3.3622332646136845</v>
      </c>
      <c r="H50" s="184" t="s">
        <v>380</v>
      </c>
      <c r="I50" s="184"/>
      <c r="J50" s="187"/>
    </row>
    <row r="51" spans="1:10" ht="13.5" thickBot="1">
      <c r="A51" s="205"/>
      <c r="B51" s="206"/>
      <c r="C51" s="206"/>
      <c r="D51" s="206"/>
      <c r="E51" s="206"/>
      <c r="F51" s="206"/>
      <c r="G51" s="206"/>
      <c r="H51" s="206"/>
      <c r="I51" s="206"/>
      <c r="J51" s="207"/>
    </row>
    <row r="52" spans="1:10">
      <c r="A52" s="208"/>
    </row>
    <row r="57" spans="1:10" ht="12.75" customHeight="1"/>
    <row r="58" spans="1:10" ht="12.75" customHeight="1"/>
    <row r="59" spans="1:10" ht="12.75" customHeight="1" thickBot="1"/>
    <row r="60" spans="1:10" ht="12.75" customHeight="1">
      <c r="A60" s="179"/>
      <c r="B60" s="180"/>
      <c r="C60" s="180"/>
      <c r="D60" s="180"/>
      <c r="E60" s="180"/>
      <c r="F60" s="180"/>
      <c r="G60" s="180"/>
      <c r="H60" s="180"/>
      <c r="I60" s="180"/>
      <c r="J60" s="181"/>
    </row>
    <row r="61" spans="1:10" ht="20.85" customHeight="1">
      <c r="A61" s="182"/>
      <c r="B61" s="183" t="s">
        <v>260</v>
      </c>
      <c r="C61" s="184"/>
      <c r="D61" s="184"/>
      <c r="E61" s="186" t="s">
        <v>151</v>
      </c>
      <c r="F61" s="188" t="str">
        <f>CaseName</f>
        <v>Case 1</v>
      </c>
      <c r="G61" s="184"/>
      <c r="H61" s="184"/>
      <c r="I61" s="186"/>
      <c r="J61" s="187"/>
    </row>
    <row r="62" spans="1:10" ht="12.75" customHeight="1">
      <c r="A62" s="182"/>
      <c r="B62" s="190" t="s">
        <v>190</v>
      </c>
      <c r="C62" s="184"/>
      <c r="D62" s="184"/>
      <c r="E62" s="184"/>
      <c r="F62" s="184"/>
      <c r="G62" s="184"/>
      <c r="H62" s="184"/>
      <c r="I62" s="184"/>
      <c r="J62" s="187"/>
    </row>
    <row r="63" spans="1:10" ht="12.75" customHeight="1">
      <c r="A63" s="191"/>
      <c r="B63" s="192"/>
      <c r="C63" s="192"/>
      <c r="D63" s="192"/>
      <c r="E63" s="192"/>
      <c r="F63" s="192"/>
      <c r="G63" s="192"/>
      <c r="H63" s="192"/>
      <c r="I63" s="192"/>
      <c r="J63" s="193"/>
    </row>
    <row r="64" spans="1:10" ht="12.75" customHeight="1">
      <c r="A64" s="182"/>
      <c r="B64" s="184"/>
      <c r="C64" s="184"/>
      <c r="D64" s="184"/>
      <c r="E64" s="184"/>
      <c r="F64" s="184"/>
      <c r="G64" s="184"/>
      <c r="H64" s="184"/>
      <c r="I64" s="184"/>
      <c r="J64" s="187"/>
    </row>
    <row r="65" spans="1:11" ht="12.75" customHeight="1">
      <c r="A65" s="182"/>
      <c r="B65" s="194" t="s">
        <v>160</v>
      </c>
      <c r="C65" s="192"/>
      <c r="D65" s="192"/>
      <c r="E65" s="192"/>
      <c r="F65" s="192"/>
      <c r="G65" s="192"/>
      <c r="H65" s="192"/>
      <c r="I65" s="192"/>
      <c r="J65" s="187"/>
    </row>
    <row r="66" spans="1:11" ht="12.75" customHeight="1">
      <c r="A66" s="182"/>
      <c r="B66" s="186" t="s">
        <v>244</v>
      </c>
      <c r="C66" s="186"/>
      <c r="D66" s="186"/>
      <c r="E66" s="379" t="str">
        <f>INDEX(Model!R7:R14,FlagSelection)</f>
        <v>Wet cooling - Mechanical Draft</v>
      </c>
      <c r="F66" s="186"/>
      <c r="G66" s="186"/>
      <c r="H66" s="186"/>
      <c r="I66" s="186"/>
      <c r="J66" s="187"/>
    </row>
    <row r="67" spans="1:11" ht="12.75" customHeight="1">
      <c r="A67" s="182"/>
      <c r="B67" s="186" t="s">
        <v>193</v>
      </c>
      <c r="C67" s="186"/>
      <c r="D67" s="186"/>
      <c r="E67" s="381">
        <f>COC</f>
        <v>6</v>
      </c>
      <c r="F67" s="186"/>
      <c r="G67" s="184"/>
      <c r="H67" s="184"/>
      <c r="I67" s="184"/>
      <c r="J67" s="187"/>
    </row>
    <row r="68" spans="1:11" ht="12.75" customHeight="1">
      <c r="A68" s="182"/>
      <c r="B68" s="186" t="s">
        <v>33</v>
      </c>
      <c r="C68" s="184"/>
      <c r="D68" s="184"/>
      <c r="E68" s="381">
        <f>Dtca</f>
        <v>6</v>
      </c>
      <c r="F68" s="186" t="s">
        <v>12</v>
      </c>
      <c r="G68" s="184"/>
      <c r="H68" s="184"/>
      <c r="I68" s="184"/>
      <c r="J68" s="187"/>
    </row>
    <row r="69" spans="1:11" ht="12.75" customHeight="1">
      <c r="A69" s="182"/>
      <c r="B69" s="186" t="s">
        <v>32</v>
      </c>
      <c r="C69" s="184"/>
      <c r="D69" s="186"/>
      <c r="E69" s="377">
        <f>Dtcr</f>
        <v>10</v>
      </c>
      <c r="F69" s="186" t="s">
        <v>12</v>
      </c>
      <c r="G69" s="186"/>
      <c r="H69" s="184"/>
      <c r="I69" s="184"/>
      <c r="J69" s="187"/>
    </row>
    <row r="70" spans="1:11" ht="12.75" customHeight="1">
      <c r="A70" s="182"/>
      <c r="B70" s="186" t="s">
        <v>34</v>
      </c>
      <c r="C70" s="186"/>
      <c r="D70" s="186"/>
      <c r="E70" s="377">
        <f>Dtta</f>
        <v>6</v>
      </c>
      <c r="F70" s="186" t="s">
        <v>12</v>
      </c>
      <c r="G70" s="184"/>
      <c r="H70" s="184"/>
      <c r="I70" s="184"/>
      <c r="J70" s="187"/>
    </row>
    <row r="71" spans="1:11" ht="12.75" customHeight="1">
      <c r="A71" s="182"/>
      <c r="B71" s="233" t="str">
        <f>IF(FlagSelection=2,"Cooling Pond area","")</f>
        <v/>
      </c>
      <c r="C71" s="184"/>
      <c r="D71" s="186"/>
      <c r="E71" s="203" t="str">
        <f>IF(FlagSelection=2,SpondOT,"")</f>
        <v/>
      </c>
      <c r="F71" s="184" t="str">
        <f>IF(FlagSelection=2,"km2","")</f>
        <v/>
      </c>
      <c r="G71" s="184"/>
      <c r="H71" s="184"/>
      <c r="I71" s="184"/>
      <c r="J71" s="187"/>
    </row>
    <row r="72" spans="1:11" ht="12.75" customHeight="1">
      <c r="A72" s="182"/>
      <c r="B72" s="194" t="s">
        <v>161</v>
      </c>
      <c r="C72" s="192"/>
      <c r="D72" s="192"/>
      <c r="E72" s="192"/>
      <c r="F72" s="192"/>
      <c r="G72" s="192"/>
      <c r="H72" s="192"/>
      <c r="I72" s="192"/>
      <c r="J72" s="187"/>
    </row>
    <row r="73" spans="1:11" ht="12.75" customHeight="1">
      <c r="A73" s="182"/>
      <c r="B73" s="186" t="str">
        <f>IF(FlagSelection=3,"Pond area needed","")</f>
        <v/>
      </c>
      <c r="E73" s="253" t="str">
        <f>IF(FlagSelection=3,Spond,"")</f>
        <v/>
      </c>
      <c r="F73" s="178" t="str">
        <f>IF(FlagSelection=3,"km2","")</f>
        <v/>
      </c>
      <c r="G73" s="202" t="str">
        <f>IF(FlagSelection=3,Model!M43,"")</f>
        <v/>
      </c>
      <c r="H73" s="178" t="str">
        <f>IF(FlagSelection=3,"m2/MWh","")</f>
        <v/>
      </c>
      <c r="J73" s="187"/>
    </row>
    <row r="74" spans="1:11" ht="12.75" customHeight="1">
      <c r="A74" s="182"/>
      <c r="B74" s="186" t="s">
        <v>191</v>
      </c>
      <c r="C74" s="186"/>
      <c r="D74" s="186"/>
      <c r="E74" s="376">
        <f>'2.Cooling'!DA33</f>
        <v>0.40270899453701808</v>
      </c>
      <c r="F74" s="186" t="s">
        <v>162</v>
      </c>
      <c r="G74" s="376">
        <f>'2.Cooling'!DB33</f>
        <v>14.497523803332651</v>
      </c>
      <c r="H74" s="184" t="s">
        <v>287</v>
      </c>
      <c r="I74" s="184"/>
      <c r="J74" s="187"/>
    </row>
    <row r="75" spans="1:11" ht="12.75" customHeight="1">
      <c r="A75" s="182"/>
      <c r="B75" s="184" t="s">
        <v>72</v>
      </c>
      <c r="C75" s="184"/>
      <c r="D75" s="186"/>
      <c r="E75" s="376">
        <f>'2.Cooling'!DA34</f>
        <v>4.2990207786004304E-3</v>
      </c>
      <c r="F75" s="186" t="s">
        <v>162</v>
      </c>
      <c r="G75" s="376">
        <f>'2.Cooling'!DB34</f>
        <v>0.15476474802961551</v>
      </c>
      <c r="H75" s="184" t="s">
        <v>287</v>
      </c>
      <c r="I75" s="184"/>
      <c r="J75" s="187"/>
      <c r="K75" s="384"/>
    </row>
    <row r="76" spans="1:11" ht="12.75" customHeight="1">
      <c r="A76" s="182"/>
      <c r="B76" s="186" t="s">
        <v>286</v>
      </c>
      <c r="C76" s="186"/>
      <c r="D76" s="186"/>
      <c r="E76" s="376">
        <f>'2.Cooling'!DA35</f>
        <v>7.6242778128803187E-2</v>
      </c>
      <c r="F76" s="186" t="s">
        <v>162</v>
      </c>
      <c r="G76" s="376">
        <f>'2.Cooling'!DB35</f>
        <v>2.7447400126369148</v>
      </c>
      <c r="H76" s="184" t="s">
        <v>287</v>
      </c>
      <c r="I76" s="184"/>
      <c r="J76" s="187"/>
      <c r="K76" s="384"/>
    </row>
    <row r="77" spans="1:11" ht="12.75" customHeight="1">
      <c r="A77" s="182"/>
      <c r="B77" s="256" t="s">
        <v>192</v>
      </c>
      <c r="C77" s="184"/>
      <c r="D77" s="186"/>
      <c r="E77" s="376">
        <f>'2.Cooling'!DA36</f>
        <v>0.48325079344442173</v>
      </c>
      <c r="F77" s="186" t="s">
        <v>162</v>
      </c>
      <c r="G77" s="376">
        <f>'2.Cooling'!DB36</f>
        <v>17.397028563999182</v>
      </c>
      <c r="H77" s="184" t="s">
        <v>287</v>
      </c>
      <c r="I77" s="184"/>
      <c r="J77" s="187"/>
    </row>
    <row r="78" spans="1:11" ht="12.75" customHeight="1">
      <c r="A78" s="182"/>
      <c r="B78" s="257" t="s">
        <v>238</v>
      </c>
      <c r="C78" s="186"/>
      <c r="D78" s="186"/>
      <c r="E78" s="376">
        <f>E74+E75</f>
        <v>0.40700801531561853</v>
      </c>
      <c r="F78" s="186" t="s">
        <v>162</v>
      </c>
      <c r="G78" s="376">
        <f>G74+G75</f>
        <v>14.652288551362266</v>
      </c>
      <c r="H78" s="184" t="s">
        <v>287</v>
      </c>
      <c r="I78" s="184"/>
      <c r="J78" s="187"/>
    </row>
    <row r="79" spans="1:11" ht="12.75" customHeight="1">
      <c r="A79" s="182"/>
      <c r="C79" s="184"/>
      <c r="D79" s="186"/>
      <c r="E79" s="198"/>
      <c r="F79" s="184"/>
      <c r="G79" s="184"/>
      <c r="H79" s="184"/>
      <c r="I79" s="184"/>
      <c r="J79" s="187"/>
    </row>
    <row r="80" spans="1:11" ht="12.75" customHeight="1">
      <c r="A80" s="182"/>
      <c r="B80" s="186"/>
      <c r="C80" s="186"/>
      <c r="D80" s="186"/>
      <c r="E80" s="186"/>
      <c r="F80" s="186"/>
      <c r="G80" s="186"/>
      <c r="H80" s="186"/>
      <c r="I80" s="186"/>
      <c r="J80" s="187"/>
    </row>
    <row r="81" spans="1:10" ht="12.75" customHeight="1">
      <c r="A81" s="182"/>
      <c r="B81" s="186"/>
      <c r="C81" s="186"/>
      <c r="D81" s="186"/>
      <c r="E81" s="186"/>
      <c r="F81" s="186"/>
      <c r="G81" s="186"/>
      <c r="H81" s="186"/>
      <c r="I81" s="186"/>
      <c r="J81" s="187"/>
    </row>
    <row r="82" spans="1:10" ht="12.75" customHeight="1">
      <c r="A82" s="182"/>
      <c r="B82" s="186"/>
      <c r="C82" s="186"/>
      <c r="D82" s="186"/>
      <c r="E82" s="186"/>
      <c r="F82" s="186"/>
      <c r="G82" s="186"/>
      <c r="H82" s="186"/>
      <c r="I82" s="186"/>
      <c r="J82" s="187"/>
    </row>
    <row r="83" spans="1:10" ht="12.75" customHeight="1">
      <c r="A83" s="182"/>
      <c r="J83" s="187"/>
    </row>
    <row r="84" spans="1:10" ht="12.75" customHeight="1">
      <c r="A84" s="182"/>
      <c r="B84" s="194" t="s">
        <v>237</v>
      </c>
      <c r="C84" s="192"/>
      <c r="D84" s="192"/>
      <c r="E84" s="192"/>
      <c r="F84" s="192"/>
      <c r="G84" s="192"/>
      <c r="H84" s="192"/>
      <c r="I84" s="192"/>
      <c r="J84" s="187"/>
    </row>
    <row r="85" spans="1:10" ht="12.75" customHeight="1">
      <c r="A85" s="182"/>
      <c r="B85" s="186"/>
      <c r="C85" s="186"/>
      <c r="D85" s="186"/>
      <c r="E85" s="186"/>
      <c r="F85" s="186"/>
      <c r="G85" s="186"/>
      <c r="H85" s="186"/>
      <c r="I85" s="186"/>
      <c r="J85" s="187"/>
    </row>
    <row r="86" spans="1:10" ht="12.75" customHeight="1">
      <c r="A86" s="182"/>
      <c r="B86" s="186"/>
      <c r="C86" s="186"/>
      <c r="D86" s="186"/>
      <c r="E86" s="186"/>
      <c r="F86" s="186"/>
      <c r="G86" s="186"/>
      <c r="H86" s="186"/>
      <c r="I86" s="186"/>
      <c r="J86" s="187"/>
    </row>
    <row r="87" spans="1:10" ht="12.75" customHeight="1">
      <c r="A87" s="182"/>
      <c r="B87" s="186"/>
      <c r="C87" s="186"/>
      <c r="D87" s="186"/>
      <c r="E87" s="186"/>
      <c r="F87" s="186"/>
      <c r="G87" s="186"/>
      <c r="H87" s="186"/>
      <c r="I87" s="186"/>
      <c r="J87" s="187"/>
    </row>
    <row r="88" spans="1:10" ht="12.75" customHeight="1">
      <c r="A88" s="182"/>
      <c r="B88" s="186"/>
      <c r="C88" s="186"/>
      <c r="D88" s="186"/>
      <c r="E88" s="186"/>
      <c r="F88" s="186"/>
      <c r="G88" s="186"/>
      <c r="H88" s="186"/>
      <c r="I88" s="186"/>
      <c r="J88" s="187"/>
    </row>
    <row r="89" spans="1:10" ht="12.75" customHeight="1">
      <c r="A89" s="182"/>
      <c r="B89" s="186"/>
      <c r="C89" s="186"/>
      <c r="D89" s="186"/>
      <c r="E89" s="186"/>
      <c r="F89" s="186"/>
      <c r="G89" s="186"/>
      <c r="H89" s="186"/>
      <c r="I89" s="186"/>
      <c r="J89" s="187"/>
    </row>
    <row r="90" spans="1:10" ht="12.75" customHeight="1">
      <c r="A90" s="182"/>
      <c r="B90" s="184"/>
      <c r="C90" s="211"/>
      <c r="D90" s="184"/>
      <c r="E90" s="184"/>
      <c r="F90" s="184"/>
      <c r="G90" s="184"/>
      <c r="H90" s="184"/>
      <c r="I90" s="184"/>
      <c r="J90" s="187"/>
    </row>
    <row r="91" spans="1:10" ht="12.75" customHeight="1">
      <c r="A91" s="182"/>
      <c r="B91" s="184"/>
      <c r="C91" s="211"/>
      <c r="D91" s="184"/>
      <c r="E91" s="184"/>
      <c r="F91" s="184"/>
      <c r="G91" s="184"/>
      <c r="H91" s="184"/>
      <c r="I91" s="184"/>
      <c r="J91" s="187"/>
    </row>
    <row r="92" spans="1:10" ht="12.75" customHeight="1">
      <c r="A92" s="182"/>
      <c r="B92" s="184"/>
      <c r="C92" s="211"/>
      <c r="D92" s="184"/>
      <c r="E92" s="184"/>
      <c r="F92" s="184"/>
      <c r="G92" s="184"/>
      <c r="H92" s="184"/>
      <c r="I92" s="184"/>
      <c r="J92" s="187"/>
    </row>
    <row r="93" spans="1:10" ht="12.75" customHeight="1">
      <c r="A93" s="182"/>
      <c r="B93" s="184"/>
      <c r="C93" s="184"/>
      <c r="D93" s="184"/>
      <c r="E93" s="184"/>
      <c r="F93" s="184"/>
      <c r="G93" s="184"/>
      <c r="H93" s="184"/>
      <c r="I93" s="184"/>
      <c r="J93" s="187"/>
    </row>
    <row r="94" spans="1:10" ht="12.75" customHeight="1">
      <c r="A94" s="182"/>
      <c r="B94" s="184"/>
      <c r="C94" s="184"/>
      <c r="D94" s="184"/>
      <c r="E94" s="184"/>
      <c r="F94" s="184"/>
      <c r="G94" s="184"/>
      <c r="H94" s="184"/>
      <c r="I94" s="184"/>
      <c r="J94" s="187"/>
    </row>
    <row r="95" spans="1:10" ht="12.75" customHeight="1">
      <c r="A95" s="182"/>
      <c r="B95" s="184"/>
      <c r="C95" s="212"/>
      <c r="D95" s="184"/>
      <c r="E95" s="184"/>
      <c r="F95" s="184"/>
      <c r="G95" s="184"/>
      <c r="H95" s="184"/>
      <c r="I95" s="184"/>
      <c r="J95" s="187"/>
    </row>
    <row r="96" spans="1:10" ht="12.75" customHeight="1">
      <c r="A96" s="182"/>
      <c r="B96" s="184"/>
      <c r="C96" s="200"/>
      <c r="D96" s="184"/>
      <c r="E96" s="184"/>
      <c r="F96" s="184"/>
      <c r="G96" s="184"/>
      <c r="H96" s="184"/>
      <c r="I96" s="184"/>
      <c r="J96" s="187"/>
    </row>
    <row r="97" spans="1:10" ht="12.75" customHeight="1">
      <c r="A97" s="182"/>
      <c r="B97" s="184"/>
      <c r="C97" s="200"/>
      <c r="D97" s="184"/>
      <c r="E97" s="184"/>
      <c r="F97" s="184"/>
      <c r="G97" s="184"/>
      <c r="H97" s="184"/>
      <c r="I97" s="184"/>
      <c r="J97" s="187"/>
    </row>
    <row r="98" spans="1:10" ht="12.75" customHeight="1">
      <c r="A98" s="182"/>
      <c r="B98" s="194" t="s">
        <v>382</v>
      </c>
      <c r="C98" s="194"/>
      <c r="D98" s="194"/>
      <c r="E98" s="194"/>
      <c r="F98" s="194"/>
      <c r="G98" s="194"/>
      <c r="H98" s="194"/>
      <c r="I98" s="194"/>
      <c r="J98" s="187"/>
    </row>
    <row r="99" spans="1:10" ht="12.75" customHeight="1">
      <c r="A99" s="182"/>
      <c r="B99" s="440"/>
      <c r="C99" s="440"/>
      <c r="D99" s="440"/>
      <c r="E99" s="184"/>
      <c r="F99" s="184"/>
      <c r="G99" s="184"/>
      <c r="H99" s="184"/>
      <c r="I99" s="184"/>
      <c r="J99" s="187"/>
    </row>
    <row r="100" spans="1:10" ht="12.75" customHeight="1">
      <c r="A100" s="182"/>
      <c r="B100" s="178" t="str">
        <f>"For a desired self sufficiency period of "&amp;Tgrace&amp;" days, a reservoir of "&amp; ROUND(Mgrace,10)&amp;" million m3 is needed."</f>
        <v>For a desired self sufficiency period of 7 days, a reservoir of 0.2922700799 million m3 is needed.</v>
      </c>
      <c r="J100" s="187"/>
    </row>
    <row r="101" spans="1:10" ht="12.75" customHeight="1">
      <c r="A101" s="182"/>
    </row>
    <row r="102" spans="1:10" ht="12.75" customHeight="1">
      <c r="A102" s="182"/>
    </row>
    <row r="103" spans="1:10" ht="12.75" customHeight="1">
      <c r="A103" s="182"/>
      <c r="B103" s="194" t="s">
        <v>375</v>
      </c>
      <c r="C103" s="192"/>
      <c r="D103" s="192"/>
      <c r="E103" s="192"/>
      <c r="F103" s="192"/>
      <c r="G103" s="192"/>
      <c r="H103" s="192"/>
      <c r="I103" s="192"/>
      <c r="J103" s="187"/>
    </row>
    <row r="104" spans="1:10" ht="12.75" customHeight="1">
      <c r="A104" s="182"/>
      <c r="B104" s="186"/>
      <c r="C104" s="186"/>
      <c r="D104" s="186"/>
      <c r="E104" s="186"/>
      <c r="F104" s="186"/>
      <c r="G104" s="186"/>
      <c r="H104" s="186"/>
      <c r="I104" s="186"/>
      <c r="J104" s="187"/>
    </row>
    <row r="105" spans="1:10" ht="12.75" customHeight="1">
      <c r="A105" s="182"/>
      <c r="B105" s="178" t="s">
        <v>285</v>
      </c>
      <c r="D105" s="202">
        <f>IF(ISNUMBER('2.Cooling'!C20),'2.Cooling'!$C$20,"BASE")</f>
        <v>18.575264853906795</v>
      </c>
      <c r="E105" s="178" t="s">
        <v>157</v>
      </c>
      <c r="F105" s="186"/>
      <c r="G105" s="186"/>
      <c r="H105" s="186"/>
      <c r="I105" s="186"/>
      <c r="J105" s="187"/>
    </row>
    <row r="106" spans="1:10">
      <c r="A106" s="182"/>
      <c r="F106" s="186"/>
      <c r="G106" s="186"/>
      <c r="H106" s="186"/>
      <c r="I106" s="186"/>
      <c r="J106" s="187"/>
    </row>
    <row r="107" spans="1:10">
      <c r="A107" s="182"/>
      <c r="B107" s="186" t="s">
        <v>156</v>
      </c>
      <c r="C107" s="204"/>
      <c r="D107" s="249">
        <f>IF(ISNUMBER('2.Cooling'!C20),'2.Cooling'!$C$20*PMT(i,Le,-1),"BASE")</f>
        <v>1.1784944228616747</v>
      </c>
      <c r="E107" s="186" t="s">
        <v>157</v>
      </c>
      <c r="F107" s="186"/>
      <c r="G107" s="186"/>
      <c r="H107" s="186"/>
      <c r="I107" s="186"/>
      <c r="J107" s="187"/>
    </row>
    <row r="108" spans="1:10">
      <c r="A108" s="182"/>
      <c r="B108" s="186" t="s">
        <v>158</v>
      </c>
      <c r="C108" s="186"/>
      <c r="D108" s="254">
        <f>'2.Cooling'!$F$20</f>
        <v>0.47303999999999991</v>
      </c>
      <c r="E108" s="186" t="s">
        <v>157</v>
      </c>
      <c r="F108" s="184"/>
      <c r="G108" s="184"/>
      <c r="H108" s="184"/>
      <c r="I108" s="184"/>
      <c r="J108" s="187"/>
    </row>
    <row r="109" spans="1:10">
      <c r="A109" s="182"/>
      <c r="B109" s="186" t="s">
        <v>159</v>
      </c>
      <c r="C109" s="186"/>
      <c r="D109" s="255">
        <f>SUM(D107:D108)</f>
        <v>1.6515344228616746</v>
      </c>
      <c r="E109" s="186" t="s">
        <v>157</v>
      </c>
      <c r="F109" s="184"/>
      <c r="G109" s="184"/>
      <c r="H109" s="184"/>
      <c r="I109" s="184"/>
      <c r="J109" s="187"/>
    </row>
    <row r="110" spans="1:10">
      <c r="A110" s="182"/>
      <c r="B110" s="184"/>
      <c r="C110" s="184"/>
      <c r="D110" s="184"/>
      <c r="E110" s="184"/>
      <c r="F110" s="184"/>
      <c r="G110" s="184"/>
      <c r="H110" s="184"/>
      <c r="I110" s="184"/>
      <c r="J110" s="187"/>
    </row>
    <row r="111" spans="1:10">
      <c r="A111" s="182"/>
      <c r="B111" s="184"/>
      <c r="C111" s="184"/>
      <c r="D111" s="184"/>
      <c r="E111" s="184"/>
      <c r="F111" s="184"/>
      <c r="G111" s="184"/>
      <c r="H111" s="184"/>
      <c r="I111" s="184"/>
      <c r="J111" s="187"/>
    </row>
    <row r="112" spans="1:10" ht="13.5" thickBot="1">
      <c r="A112" s="205"/>
      <c r="B112" s="206"/>
      <c r="C112" s="206"/>
      <c r="D112" s="206"/>
      <c r="E112" s="206"/>
      <c r="F112" s="206"/>
      <c r="G112" s="206"/>
      <c r="H112" s="206"/>
      <c r="I112" s="206"/>
      <c r="J112" s="207"/>
    </row>
    <row r="115" spans="1:10" ht="13.5" thickBot="1"/>
    <row r="116" spans="1:10">
      <c r="A116" s="179"/>
      <c r="B116" s="180"/>
      <c r="C116" s="180"/>
      <c r="D116" s="180"/>
      <c r="E116" s="180"/>
      <c r="F116" s="180"/>
      <c r="G116" s="180"/>
      <c r="H116" s="180"/>
      <c r="I116" s="180"/>
      <c r="J116" s="181"/>
    </row>
    <row r="117" spans="1:10" ht="20.25">
      <c r="A117" s="182"/>
      <c r="B117" s="183" t="s">
        <v>260</v>
      </c>
      <c r="C117" s="184"/>
      <c r="D117" s="184"/>
      <c r="E117" s="178" t="s">
        <v>151</v>
      </c>
      <c r="F117" s="188" t="str">
        <f>CaseName</f>
        <v>Case 1</v>
      </c>
      <c r="G117" s="184"/>
      <c r="H117" s="184"/>
      <c r="I117" s="186"/>
      <c r="J117" s="187"/>
    </row>
    <row r="118" spans="1:10" ht="15.75">
      <c r="A118" s="182"/>
      <c r="B118" s="190" t="s">
        <v>340</v>
      </c>
      <c r="C118" s="184"/>
      <c r="D118" s="184"/>
      <c r="E118" s="184"/>
      <c r="F118" s="184"/>
      <c r="G118" s="184"/>
      <c r="H118" s="184"/>
      <c r="I118" s="184"/>
      <c r="J118" s="187"/>
    </row>
    <row r="119" spans="1:10">
      <c r="A119" s="191"/>
      <c r="B119" s="192"/>
      <c r="C119" s="192"/>
      <c r="D119" s="192"/>
      <c r="E119" s="192"/>
      <c r="F119" s="192"/>
      <c r="G119" s="192"/>
      <c r="H119" s="192"/>
      <c r="I119" s="192"/>
      <c r="J119" s="193"/>
    </row>
    <row r="120" spans="1:10">
      <c r="A120" s="182"/>
      <c r="B120" s="184"/>
      <c r="C120" s="184"/>
      <c r="D120" s="184"/>
      <c r="E120" s="184"/>
      <c r="F120" s="184"/>
      <c r="G120" s="184"/>
      <c r="H120" s="184"/>
      <c r="I120" s="184"/>
      <c r="J120" s="187"/>
    </row>
    <row r="121" spans="1:10" ht="15" customHeight="1">
      <c r="A121" s="182"/>
      <c r="B121" s="194" t="s">
        <v>355</v>
      </c>
      <c r="C121" s="192"/>
      <c r="D121" s="192"/>
      <c r="E121" s="192"/>
      <c r="F121" s="192"/>
      <c r="G121" s="192"/>
      <c r="H121" s="192"/>
      <c r="I121" s="192"/>
      <c r="J121" s="187"/>
    </row>
    <row r="122" spans="1:10" ht="15" customHeight="1">
      <c r="A122" s="182"/>
      <c r="B122" s="186"/>
      <c r="C122" s="184"/>
      <c r="D122" s="184"/>
      <c r="E122" s="196"/>
      <c r="F122" s="184"/>
      <c r="G122" s="321" t="s">
        <v>379</v>
      </c>
      <c r="H122" s="320"/>
      <c r="I122" s="184"/>
      <c r="J122" s="187"/>
    </row>
    <row r="123" spans="1:10" ht="15" customHeight="1">
      <c r="A123" s="182"/>
      <c r="B123" s="184" t="s">
        <v>311</v>
      </c>
      <c r="C123" s="184"/>
      <c r="D123" s="287"/>
      <c r="E123" s="240">
        <v>2500</v>
      </c>
      <c r="F123" s="240" t="s">
        <v>307</v>
      </c>
      <c r="G123" s="184" t="str">
        <f>IF(TDS&gt;2000,"Clarifiers and reverse osmosis",IF(TDS&gt;1000,"Clarifiers","No treatment"))</f>
        <v>No treatment</v>
      </c>
      <c r="H123" s="198"/>
      <c r="I123" s="184"/>
      <c r="J123" s="187"/>
    </row>
    <row r="124" spans="1:10" ht="15" customHeight="1">
      <c r="A124" s="182"/>
      <c r="B124" s="184" t="s">
        <v>312</v>
      </c>
      <c r="C124" s="184"/>
      <c r="D124" s="287"/>
      <c r="E124" s="184">
        <v>8</v>
      </c>
      <c r="F124" s="240" t="s">
        <v>307</v>
      </c>
      <c r="G124" s="184" t="str">
        <f>IF(TSS&gt;10,"Gravity filtration","No gravity filtration")</f>
        <v>No gravity filtration</v>
      </c>
      <c r="H124" s="198"/>
      <c r="I124" s="184"/>
      <c r="J124" s="187"/>
    </row>
    <row r="125" spans="1:10" ht="15" customHeight="1">
      <c r="A125" s="182"/>
      <c r="B125" s="184" t="s">
        <v>313</v>
      </c>
      <c r="C125" s="184"/>
      <c r="D125" s="287"/>
      <c r="E125" s="184">
        <v>5</v>
      </c>
      <c r="F125" s="240" t="s">
        <v>307</v>
      </c>
      <c r="G125" s="184" t="str">
        <f>IF(NH3_&gt;5,"Trickling filters","No ammonia treatment")</f>
        <v>No ammonia treatment</v>
      </c>
      <c r="H125" s="287"/>
      <c r="I125" s="184"/>
      <c r="J125" s="187"/>
    </row>
    <row r="126" spans="1:10" ht="15" customHeight="1">
      <c r="A126" s="182"/>
      <c r="B126" s="184"/>
      <c r="C126" s="184"/>
      <c r="D126" s="184"/>
      <c r="E126" s="184"/>
      <c r="F126" s="184"/>
      <c r="G126" s="263"/>
      <c r="H126" s="198"/>
      <c r="I126" s="184"/>
      <c r="J126" s="187"/>
    </row>
    <row r="127" spans="1:10">
      <c r="A127" s="182"/>
      <c r="B127" s="194" t="s">
        <v>356</v>
      </c>
      <c r="C127" s="192"/>
      <c r="D127" s="192"/>
      <c r="E127" s="192"/>
      <c r="F127" s="192"/>
      <c r="G127" s="192"/>
      <c r="H127" s="192"/>
      <c r="I127" s="192"/>
      <c r="J127" s="187"/>
    </row>
    <row r="128" spans="1:10">
      <c r="A128" s="182"/>
      <c r="G128" s="287"/>
      <c r="H128" s="287"/>
      <c r="I128" s="287"/>
      <c r="J128" s="187"/>
    </row>
    <row r="129" spans="1:10" ht="15" customHeight="1">
      <c r="A129" s="182"/>
      <c r="B129" s="287" t="s">
        <v>320</v>
      </c>
      <c r="C129" s="287"/>
      <c r="D129" s="287"/>
      <c r="E129" s="296" t="str">
        <f>IF(Model!K65=0,"Not needed",Model!K65)</f>
        <v>Not needed</v>
      </c>
      <c r="F129" s="287" t="str">
        <f>IF(Model!K65=0,"","M$")</f>
        <v/>
      </c>
      <c r="G129" s="287"/>
      <c r="H129" s="198"/>
      <c r="I129" s="184"/>
      <c r="J129" s="187"/>
    </row>
    <row r="130" spans="1:10" ht="15" customHeight="1">
      <c r="A130" s="182"/>
      <c r="B130" s="184" t="s">
        <v>316</v>
      </c>
      <c r="C130" s="287"/>
      <c r="D130" s="287"/>
      <c r="E130" s="296" t="str">
        <f>IF(Model!K66=0,"Not needed",Model!K66)</f>
        <v>Not needed</v>
      </c>
      <c r="F130" s="287" t="str">
        <f>IF(Model!K66=0,"","M$")</f>
        <v/>
      </c>
      <c r="G130" s="198"/>
      <c r="H130" s="297"/>
      <c r="I130" s="184"/>
      <c r="J130" s="187"/>
    </row>
    <row r="131" spans="1:10" ht="15" customHeight="1">
      <c r="A131" s="182"/>
      <c r="B131" s="184" t="s">
        <v>348</v>
      </c>
      <c r="C131" s="287"/>
      <c r="D131" s="287"/>
      <c r="E131" s="296" t="str">
        <f>IF(Model!K67=0,"Not needed",Model!K67)</f>
        <v>Not needed</v>
      </c>
      <c r="F131" s="287" t="str">
        <f>IF(Model!K67=0,"","M$")</f>
        <v/>
      </c>
      <c r="G131" s="287"/>
      <c r="H131" s="287"/>
      <c r="I131" s="287"/>
      <c r="J131" s="187"/>
    </row>
    <row r="132" spans="1:10" ht="15" customHeight="1">
      <c r="A132" s="182"/>
      <c r="B132" s="287" t="s">
        <v>345</v>
      </c>
      <c r="C132" s="287"/>
      <c r="D132" s="287"/>
      <c r="E132" s="313" t="str">
        <f>IF(Model!K68=0,"Not needed",Model!K68)</f>
        <v>Not needed</v>
      </c>
      <c r="F132" s="287" t="str">
        <f>IF(Model!K68=0,"","M$")</f>
        <v/>
      </c>
      <c r="G132" s="287"/>
      <c r="H132" s="287"/>
      <c r="I132" s="184"/>
      <c r="J132" s="187"/>
    </row>
    <row r="133" spans="1:10" ht="15" customHeight="1">
      <c r="A133" s="182"/>
      <c r="B133" s="287"/>
      <c r="C133" s="287"/>
      <c r="D133" s="287"/>
      <c r="E133" s="312">
        <f>SUM(E129:E132)</f>
        <v>0</v>
      </c>
      <c r="F133" s="287" t="s">
        <v>157</v>
      </c>
      <c r="G133" s="287"/>
      <c r="H133" s="287"/>
      <c r="I133" s="184"/>
      <c r="J133" s="187"/>
    </row>
    <row r="134" spans="1:10" ht="15" customHeight="1">
      <c r="A134" s="182"/>
      <c r="B134" s="298"/>
      <c r="C134" s="287"/>
      <c r="D134" s="287"/>
      <c r="E134" s="299"/>
      <c r="F134" s="300"/>
      <c r="G134" s="287"/>
      <c r="H134" s="287"/>
      <c r="I134" s="184"/>
      <c r="J134" s="187"/>
    </row>
    <row r="135" spans="1:10" ht="15" customHeight="1">
      <c r="A135" s="182"/>
      <c r="B135" s="194" t="s">
        <v>363</v>
      </c>
      <c r="C135" s="194"/>
      <c r="D135" s="194"/>
      <c r="E135" s="194"/>
      <c r="F135" s="194"/>
      <c r="G135" s="194"/>
      <c r="H135" s="194"/>
      <c r="I135" s="194"/>
      <c r="J135" s="187"/>
    </row>
    <row r="136" spans="1:10" ht="15" customHeight="1">
      <c r="A136" s="182"/>
      <c r="B136" s="298" t="s">
        <v>347</v>
      </c>
      <c r="C136" s="287"/>
      <c r="D136" s="287"/>
      <c r="E136" s="303">
        <f>Model!K75</f>
        <v>1.041496129670421</v>
      </c>
      <c r="F136" s="300" t="s">
        <v>157</v>
      </c>
      <c r="G136" s="287"/>
      <c r="H136" s="287"/>
      <c r="I136" s="184"/>
      <c r="J136" s="187"/>
    </row>
    <row r="137" spans="1:10" ht="15" customHeight="1">
      <c r="A137" s="182"/>
      <c r="B137" s="298" t="s">
        <v>366</v>
      </c>
      <c r="C137" s="287"/>
      <c r="D137" s="287"/>
      <c r="E137" s="303">
        <f>Model!K76</f>
        <v>0.49624079826159323</v>
      </c>
      <c r="F137" s="300" t="s">
        <v>157</v>
      </c>
      <c r="G137" s="287"/>
      <c r="H137" s="287"/>
      <c r="I137" s="184"/>
      <c r="J137" s="187"/>
    </row>
    <row r="138" spans="1:10" ht="15" customHeight="1">
      <c r="A138" s="182"/>
      <c r="B138" s="298" t="s">
        <v>364</v>
      </c>
      <c r="C138" s="184"/>
      <c r="D138" s="184"/>
      <c r="E138" s="303">
        <f>Model!K77</f>
        <v>0</v>
      </c>
      <c r="F138" s="300" t="s">
        <v>157</v>
      </c>
      <c r="G138" s="184"/>
      <c r="H138" s="287"/>
      <c r="I138" s="184"/>
      <c r="J138" s="187"/>
    </row>
    <row r="139" spans="1:10" ht="15" customHeight="1">
      <c r="A139" s="182"/>
      <c r="B139" s="298" t="s">
        <v>367</v>
      </c>
      <c r="C139" s="298"/>
      <c r="D139" s="298"/>
      <c r="E139" s="303">
        <f>Model!K78</f>
        <v>0.1729619138199959</v>
      </c>
      <c r="F139" s="300" t="s">
        <v>157</v>
      </c>
      <c r="G139" s="287"/>
      <c r="H139" s="287"/>
      <c r="I139" s="287"/>
      <c r="J139" s="187"/>
    </row>
    <row r="140" spans="1:10" ht="15" customHeight="1">
      <c r="A140" s="182"/>
      <c r="B140" s="298" t="s">
        <v>368</v>
      </c>
      <c r="C140" s="287"/>
      <c r="D140" s="287"/>
      <c r="E140" s="303">
        <f>Model!K79</f>
        <v>0</v>
      </c>
      <c r="F140" s="300" t="s">
        <v>157</v>
      </c>
      <c r="G140" s="287"/>
      <c r="H140" s="287"/>
      <c r="I140" s="287"/>
      <c r="J140" s="187"/>
    </row>
    <row r="141" spans="1:10" ht="15" customHeight="1">
      <c r="A141" s="182"/>
      <c r="B141" s="287" t="s">
        <v>369</v>
      </c>
      <c r="C141" s="287"/>
      <c r="D141" s="287"/>
      <c r="E141" s="304">
        <f>Model!K80</f>
        <v>0</v>
      </c>
      <c r="F141" s="287" t="s">
        <v>157</v>
      </c>
      <c r="G141" s="287"/>
      <c r="H141" s="287"/>
      <c r="I141" s="287"/>
      <c r="J141" s="187"/>
    </row>
    <row r="142" spans="1:10" ht="15" customHeight="1">
      <c r="A142" s="182"/>
      <c r="B142" s="305"/>
      <c r="C142" s="305"/>
      <c r="D142" s="305"/>
      <c r="E142" s="306">
        <f>SUM(E136:E141)</f>
        <v>1.7106988417520101</v>
      </c>
      <c r="F142" s="305"/>
      <c r="G142" s="305"/>
      <c r="H142" s="305"/>
      <c r="I142" s="305"/>
      <c r="J142" s="187"/>
    </row>
    <row r="143" spans="1:10" ht="15" customHeight="1">
      <c r="A143" s="182"/>
      <c r="B143" s="287"/>
      <c r="C143" s="287"/>
      <c r="D143" s="287"/>
      <c r="E143" s="287"/>
      <c r="F143" s="287"/>
      <c r="G143" s="287"/>
      <c r="H143" s="287"/>
      <c r="I143" s="287"/>
      <c r="J143" s="187"/>
    </row>
    <row r="144" spans="1:10" ht="15" customHeight="1">
      <c r="A144" s="182"/>
      <c r="B144" s="194" t="s">
        <v>374</v>
      </c>
      <c r="C144" s="307"/>
      <c r="D144" s="307"/>
      <c r="E144" s="308"/>
      <c r="F144" s="308"/>
      <c r="G144" s="192"/>
      <c r="H144" s="192"/>
      <c r="I144" s="192"/>
      <c r="J144" s="187"/>
    </row>
    <row r="145" spans="1:10" ht="15" customHeight="1">
      <c r="A145" s="182"/>
      <c r="B145" s="298"/>
      <c r="C145" s="298"/>
      <c r="D145" s="298"/>
      <c r="E145" s="300"/>
      <c r="F145" s="300"/>
      <c r="G145" s="287"/>
      <c r="H145" s="287"/>
      <c r="I145" s="287"/>
      <c r="J145" s="187"/>
    </row>
    <row r="146" spans="1:10" ht="15" customHeight="1">
      <c r="A146" s="182"/>
      <c r="B146" s="298" t="s">
        <v>156</v>
      </c>
      <c r="C146" s="298"/>
      <c r="D146" s="309">
        <f>-PMT(i,20,E133)</f>
        <v>0</v>
      </c>
      <c r="E146" s="300" t="s">
        <v>157</v>
      </c>
      <c r="G146" s="287"/>
      <c r="H146" s="287"/>
      <c r="I146" s="287"/>
      <c r="J146" s="187"/>
    </row>
    <row r="147" spans="1:10" ht="15" customHeight="1">
      <c r="A147" s="182"/>
      <c r="B147" s="298" t="s">
        <v>158</v>
      </c>
      <c r="C147" s="298"/>
      <c r="D147" s="310">
        <f>E142</f>
        <v>1.7106988417520101</v>
      </c>
      <c r="E147" s="300" t="s">
        <v>157</v>
      </c>
      <c r="G147" s="184"/>
      <c r="H147" s="287"/>
      <c r="I147" s="184"/>
      <c r="J147" s="187"/>
    </row>
    <row r="148" spans="1:10" ht="15" customHeight="1">
      <c r="A148" s="182"/>
      <c r="B148" s="298" t="s">
        <v>159</v>
      </c>
      <c r="C148" s="298"/>
      <c r="D148" s="314">
        <f>SUM(D146:D147)</f>
        <v>1.7106988417520101</v>
      </c>
      <c r="E148" s="300" t="s">
        <v>157</v>
      </c>
      <c r="G148" s="184"/>
      <c r="H148" s="287"/>
      <c r="I148" s="184"/>
      <c r="J148" s="187"/>
    </row>
    <row r="149" spans="1:10" ht="15" customHeight="1">
      <c r="A149" s="182"/>
      <c r="F149" s="300"/>
      <c r="G149" s="184"/>
      <c r="H149" s="287"/>
      <c r="I149" s="184"/>
      <c r="J149" s="187"/>
    </row>
    <row r="150" spans="1:10" ht="15" customHeight="1">
      <c r="A150" s="182"/>
      <c r="F150" s="300"/>
      <c r="G150" s="184"/>
      <c r="H150" s="287"/>
      <c r="I150" s="184"/>
      <c r="J150" s="187"/>
    </row>
    <row r="151" spans="1:10" ht="15" customHeight="1">
      <c r="A151" s="182"/>
      <c r="B151" s="298"/>
      <c r="C151" s="298"/>
      <c r="D151" s="298"/>
      <c r="E151" s="300"/>
      <c r="F151" s="300"/>
      <c r="G151" s="184"/>
      <c r="H151" s="287"/>
      <c r="I151" s="184"/>
      <c r="J151" s="187"/>
    </row>
    <row r="152" spans="1:10" ht="15" customHeight="1">
      <c r="A152" s="182"/>
      <c r="B152" s="298"/>
      <c r="C152" s="298"/>
      <c r="D152" s="298"/>
      <c r="E152" s="300"/>
      <c r="F152" s="300"/>
      <c r="G152" s="184"/>
      <c r="H152" s="287"/>
      <c r="I152" s="184"/>
      <c r="J152" s="187"/>
    </row>
    <row r="153" spans="1:10" ht="15" customHeight="1">
      <c r="A153" s="182"/>
      <c r="B153" s="298"/>
      <c r="C153" s="298"/>
      <c r="D153" s="298"/>
      <c r="E153" s="300"/>
      <c r="F153" s="300"/>
      <c r="G153" s="184"/>
      <c r="H153" s="287"/>
      <c r="I153" s="184"/>
      <c r="J153" s="187"/>
    </row>
    <row r="154" spans="1:10" ht="15" customHeight="1">
      <c r="A154" s="182"/>
      <c r="B154" s="298"/>
      <c r="C154" s="298"/>
      <c r="D154" s="298"/>
      <c r="E154" s="300"/>
      <c r="F154" s="300"/>
      <c r="G154" s="184"/>
      <c r="H154" s="287"/>
      <c r="I154" s="184"/>
      <c r="J154" s="187"/>
    </row>
    <row r="155" spans="1:10" ht="15" customHeight="1">
      <c r="A155" s="182"/>
      <c r="B155" s="298"/>
      <c r="C155" s="298"/>
      <c r="D155" s="298"/>
      <c r="E155" s="300"/>
      <c r="F155" s="300"/>
      <c r="G155" s="184"/>
      <c r="H155" s="287"/>
      <c r="I155" s="184"/>
      <c r="J155" s="187"/>
    </row>
    <row r="156" spans="1:10" ht="15" customHeight="1">
      <c r="A156" s="182"/>
      <c r="B156" s="298"/>
      <c r="C156" s="298"/>
      <c r="D156" s="298"/>
      <c r="E156" s="300"/>
      <c r="F156" s="300"/>
      <c r="G156" s="184"/>
      <c r="H156" s="287"/>
      <c r="I156" s="184"/>
      <c r="J156" s="187"/>
    </row>
    <row r="157" spans="1:10" ht="15" customHeight="1">
      <c r="A157" s="182"/>
      <c r="B157" s="298"/>
      <c r="C157" s="298"/>
      <c r="D157" s="298"/>
      <c r="E157" s="300"/>
      <c r="F157" s="300"/>
      <c r="G157" s="184"/>
      <c r="H157" s="287"/>
      <c r="I157" s="184"/>
      <c r="J157" s="187"/>
    </row>
    <row r="158" spans="1:10" ht="23.25">
      <c r="A158" s="182"/>
      <c r="B158" s="440"/>
      <c r="C158" s="440"/>
      <c r="D158" s="440"/>
      <c r="E158" s="184"/>
      <c r="F158" s="184"/>
      <c r="G158" s="184"/>
      <c r="H158" s="184"/>
      <c r="I158" s="184"/>
      <c r="J158" s="187"/>
    </row>
    <row r="159" spans="1:10">
      <c r="A159" s="182"/>
      <c r="B159" s="184"/>
      <c r="C159" s="200"/>
      <c r="D159" s="184"/>
      <c r="E159" s="184"/>
      <c r="F159" s="184"/>
      <c r="G159" s="184"/>
      <c r="H159" s="184"/>
      <c r="I159" s="184"/>
      <c r="J159" s="187"/>
    </row>
    <row r="160" spans="1:10">
      <c r="A160" s="182"/>
      <c r="B160" s="184"/>
      <c r="C160" s="184"/>
      <c r="D160" s="184"/>
      <c r="E160" s="184"/>
      <c r="F160" s="184"/>
      <c r="G160" s="184"/>
      <c r="H160" s="184"/>
      <c r="I160" s="184"/>
      <c r="J160" s="187"/>
    </row>
    <row r="161" spans="1:10">
      <c r="A161" s="182"/>
      <c r="B161" s="184"/>
      <c r="C161" s="184"/>
      <c r="D161" s="184"/>
      <c r="E161" s="184"/>
      <c r="F161" s="184"/>
      <c r="G161" s="184"/>
      <c r="H161" s="184"/>
      <c r="I161" s="184"/>
      <c r="J161" s="187"/>
    </row>
    <row r="162" spans="1:10">
      <c r="A162" s="182"/>
      <c r="B162" s="184"/>
      <c r="C162" s="184"/>
      <c r="D162" s="184"/>
      <c r="E162" s="184"/>
      <c r="F162" s="184"/>
      <c r="G162" s="184"/>
      <c r="H162" s="184"/>
      <c r="I162" s="184"/>
      <c r="J162" s="187"/>
    </row>
    <row r="163" spans="1:10">
      <c r="A163" s="182"/>
      <c r="B163" s="184"/>
      <c r="C163" s="184"/>
      <c r="D163" s="184"/>
      <c r="E163" s="184"/>
      <c r="F163" s="184"/>
      <c r="G163" s="184"/>
      <c r="H163" s="184"/>
      <c r="I163" s="184"/>
      <c r="J163" s="187"/>
    </row>
    <row r="164" spans="1:10" ht="13.5" thickBot="1">
      <c r="A164" s="205"/>
      <c r="B164" s="206"/>
      <c r="C164" s="206"/>
      <c r="D164" s="206"/>
      <c r="E164" s="206"/>
      <c r="F164" s="206"/>
      <c r="G164" s="206"/>
      <c r="H164" s="206"/>
      <c r="I164" s="206"/>
      <c r="J164" s="207"/>
    </row>
    <row r="166" spans="1:10" ht="13.5" thickBot="1"/>
    <row r="167" spans="1:10">
      <c r="A167" s="179"/>
      <c r="B167" s="180"/>
      <c r="C167" s="180"/>
      <c r="D167" s="180"/>
      <c r="E167" s="180"/>
      <c r="F167" s="180"/>
      <c r="G167" s="180"/>
      <c r="H167" s="180"/>
      <c r="I167" s="180"/>
      <c r="J167" s="181"/>
    </row>
    <row r="168" spans="1:10" ht="20.25">
      <c r="A168" s="182"/>
      <c r="B168" s="183" t="s">
        <v>260</v>
      </c>
      <c r="C168" s="184"/>
      <c r="D168" s="184"/>
      <c r="E168" s="178" t="s">
        <v>151</v>
      </c>
      <c r="F168" s="188" t="str">
        <f>CaseName</f>
        <v>Case 1</v>
      </c>
      <c r="G168" s="184"/>
      <c r="H168" s="184"/>
      <c r="I168" s="186"/>
      <c r="J168" s="187"/>
    </row>
    <row r="169" spans="1:10" ht="15.75">
      <c r="A169" s="182"/>
      <c r="B169" s="190" t="s">
        <v>230</v>
      </c>
      <c r="C169" s="184"/>
      <c r="D169" s="184"/>
      <c r="E169" s="184"/>
      <c r="F169" s="184"/>
      <c r="G169" s="184"/>
      <c r="H169" s="184"/>
      <c r="I169" s="184"/>
      <c r="J169" s="187"/>
    </row>
    <row r="170" spans="1:10">
      <c r="A170" s="191"/>
      <c r="B170" s="192"/>
      <c r="C170" s="192"/>
      <c r="D170" s="192"/>
      <c r="E170" s="192"/>
      <c r="F170" s="192"/>
      <c r="G170" s="192"/>
      <c r="H170" s="192"/>
      <c r="I170" s="192"/>
      <c r="J170" s="193"/>
    </row>
    <row r="171" spans="1:10">
      <c r="A171" s="182"/>
      <c r="B171" s="184"/>
      <c r="C171" s="184"/>
      <c r="D171" s="184"/>
      <c r="E171" s="184"/>
      <c r="F171" s="184"/>
      <c r="G171" s="184"/>
      <c r="H171" s="184"/>
      <c r="I171" s="184"/>
      <c r="J171" s="187"/>
    </row>
    <row r="172" spans="1:10">
      <c r="A172" s="182"/>
      <c r="B172" s="194" t="s">
        <v>233</v>
      </c>
      <c r="C172" s="192"/>
      <c r="D172" s="192"/>
      <c r="E172" s="192"/>
      <c r="F172" s="192"/>
      <c r="G172" s="192"/>
      <c r="H172" s="192"/>
      <c r="I172" s="192"/>
      <c r="J172" s="187"/>
    </row>
    <row r="173" spans="1:10">
      <c r="A173" s="182"/>
      <c r="B173" s="186"/>
      <c r="C173" s="184"/>
      <c r="D173" s="184"/>
      <c r="E173" s="196"/>
      <c r="F173" s="184"/>
      <c r="H173" s="196"/>
      <c r="I173" s="184"/>
      <c r="J173" s="187"/>
    </row>
    <row r="174" spans="1:10" ht="15">
      <c r="A174" s="182"/>
      <c r="B174" s="184" t="s">
        <v>165</v>
      </c>
      <c r="C174" s="184"/>
      <c r="D174" s="197"/>
      <c r="E174" s="385">
        <f>50*Pen-30000</f>
        <v>-25000</v>
      </c>
      <c r="F174" s="184" t="s">
        <v>234</v>
      </c>
      <c r="H174" s="198"/>
      <c r="I174" s="184"/>
      <c r="J174" s="187"/>
    </row>
    <row r="175" spans="1:10" ht="15">
      <c r="A175" s="182"/>
      <c r="B175" s="184" t="s">
        <v>166</v>
      </c>
      <c r="C175" s="186"/>
      <c r="D175" s="186"/>
      <c r="E175" s="385">
        <f>ROUND(83.33*Pen+3333,-2)</f>
        <v>11700</v>
      </c>
      <c r="F175" s="184" t="s">
        <v>234</v>
      </c>
      <c r="H175" s="198"/>
      <c r="I175" s="184"/>
      <c r="J175" s="187"/>
    </row>
    <row r="176" spans="1:10" ht="15">
      <c r="A176" s="182"/>
      <c r="B176" s="186" t="s">
        <v>167</v>
      </c>
      <c r="C176" s="184"/>
      <c r="D176" s="184"/>
      <c r="E176" s="385">
        <f>ROUND(500*Pen-100000,-2)</f>
        <v>-50000</v>
      </c>
      <c r="F176" s="184" t="s">
        <v>234</v>
      </c>
      <c r="G176" s="198" t="s">
        <v>235</v>
      </c>
      <c r="I176" s="184"/>
      <c r="J176" s="187"/>
    </row>
    <row r="177" spans="1:10">
      <c r="A177" s="182"/>
      <c r="B177" s="184"/>
      <c r="C177" s="184"/>
      <c r="D177" s="184"/>
      <c r="E177" s="184"/>
      <c r="F177" s="184"/>
      <c r="G177" s="184"/>
      <c r="H177" s="198"/>
      <c r="I177" s="184"/>
      <c r="J177" s="187"/>
    </row>
    <row r="178" spans="1:10">
      <c r="A178" s="182"/>
      <c r="B178" s="194" t="s">
        <v>232</v>
      </c>
      <c r="C178" s="192"/>
      <c r="D178" s="192"/>
      <c r="E178" s="192"/>
      <c r="F178" s="192"/>
      <c r="G178" s="192"/>
      <c r="H178" s="192"/>
      <c r="I178" s="192"/>
      <c r="J178" s="187"/>
    </row>
    <row r="179" spans="1:10">
      <c r="A179" s="182"/>
      <c r="J179" s="187"/>
    </row>
    <row r="180" spans="1:10" ht="15">
      <c r="A180" s="182"/>
      <c r="B180" s="186" t="s">
        <v>170</v>
      </c>
      <c r="E180" s="386">
        <f>ROUND(16.67*Pen+6666.6,-2)</f>
        <v>8300</v>
      </c>
      <c r="F180" s="184" t="s">
        <v>234</v>
      </c>
      <c r="H180" s="198"/>
      <c r="I180" s="184"/>
      <c r="J180" s="187"/>
    </row>
    <row r="181" spans="1:10" ht="15">
      <c r="A181" s="182"/>
      <c r="B181" s="186" t="s">
        <v>171</v>
      </c>
      <c r="E181" s="386">
        <f>300/6000*E176</f>
        <v>-2500</v>
      </c>
      <c r="F181" s="184" t="s">
        <v>234</v>
      </c>
      <c r="G181" s="198" t="s">
        <v>236</v>
      </c>
      <c r="H181" s="202"/>
      <c r="I181" s="184"/>
      <c r="J181" s="187"/>
    </row>
    <row r="182" spans="1:10">
      <c r="A182" s="182"/>
      <c r="J182" s="187"/>
    </row>
    <row r="183" spans="1:10">
      <c r="A183" s="182"/>
      <c r="B183" s="194" t="s">
        <v>239</v>
      </c>
      <c r="C183" s="192"/>
      <c r="D183" s="192"/>
      <c r="E183" s="192"/>
      <c r="F183" s="192"/>
      <c r="G183" s="192"/>
      <c r="H183" s="192"/>
      <c r="I183" s="192"/>
      <c r="J183" s="187"/>
    </row>
    <row r="184" spans="1:10">
      <c r="A184" s="182"/>
      <c r="I184" s="184"/>
      <c r="J184" s="187"/>
    </row>
    <row r="185" spans="1:10" ht="15">
      <c r="A185" s="182"/>
      <c r="B185" s="234" t="s">
        <v>240</v>
      </c>
      <c r="E185" s="387">
        <f>6341*(Pen/1900)^0.8</f>
        <v>601.38815843778912</v>
      </c>
      <c r="F185" s="235" t="s">
        <v>339</v>
      </c>
      <c r="H185" s="178" t="s">
        <v>242</v>
      </c>
      <c r="I185" s="184"/>
      <c r="J185" s="187"/>
    </row>
    <row r="186" spans="1:10" ht="15">
      <c r="A186" s="182"/>
      <c r="B186" s="234" t="s">
        <v>241</v>
      </c>
      <c r="C186" s="234"/>
      <c r="D186" s="234"/>
      <c r="E186" s="387">
        <f>220*(Pen/1900)^0.85</f>
        <v>18.008689907915116</v>
      </c>
      <c r="F186" s="235" t="s">
        <v>339</v>
      </c>
      <c r="H186" s="178" t="s">
        <v>242</v>
      </c>
      <c r="I186" s="184"/>
      <c r="J186" s="187"/>
    </row>
    <row r="187" spans="1:10" ht="15">
      <c r="A187" s="182"/>
      <c r="B187" s="234" t="s">
        <v>181</v>
      </c>
      <c r="E187" s="387">
        <f>2542*(Pen/1900)^0.7</f>
        <v>323.62944283902351</v>
      </c>
      <c r="F187" s="235" t="s">
        <v>339</v>
      </c>
      <c r="H187" s="178" t="s">
        <v>248</v>
      </c>
      <c r="I187" s="184"/>
      <c r="J187" s="187"/>
    </row>
    <row r="188" spans="1:10" ht="15">
      <c r="A188" s="182"/>
      <c r="B188" s="234" t="s">
        <v>293</v>
      </c>
      <c r="E188" s="387">
        <f>1838*(Pen/1900)^0.8</f>
        <v>174.31815726362663</v>
      </c>
      <c r="F188" s="235" t="s">
        <v>339</v>
      </c>
      <c r="H188" s="178" t="s">
        <v>242</v>
      </c>
      <c r="I188" s="184"/>
      <c r="J188" s="187"/>
    </row>
    <row r="189" spans="1:10" ht="15">
      <c r="A189" s="182"/>
      <c r="B189" s="234" t="s">
        <v>183</v>
      </c>
      <c r="C189" s="186"/>
      <c r="D189" s="186"/>
      <c r="E189" s="387">
        <f>517*(Pen/1900)^0.66</f>
        <v>74.047971616471585</v>
      </c>
      <c r="F189" s="235" t="s">
        <v>339</v>
      </c>
      <c r="G189" s="186"/>
      <c r="H189" s="178" t="s">
        <v>242</v>
      </c>
      <c r="I189" s="186"/>
      <c r="J189" s="187"/>
    </row>
    <row r="190" spans="1:10" ht="15">
      <c r="A190" s="182"/>
      <c r="B190" s="234" t="s">
        <v>184</v>
      </c>
      <c r="C190" s="234"/>
      <c r="D190" s="234"/>
      <c r="E190" s="387">
        <f>419*(Pen/1900)*0.92</f>
        <v>20.288421052631577</v>
      </c>
      <c r="F190" s="235" t="s">
        <v>339</v>
      </c>
      <c r="H190" s="178" t="s">
        <v>248</v>
      </c>
      <c r="J190" s="187"/>
    </row>
    <row r="191" spans="1:10" ht="15">
      <c r="A191" s="182"/>
      <c r="B191" s="234" t="s">
        <v>180</v>
      </c>
      <c r="E191" s="387">
        <f>4167*(Pen/1900)^0.9</f>
        <v>294.40505292416259</v>
      </c>
      <c r="F191" s="235" t="s">
        <v>339</v>
      </c>
      <c r="H191" s="178" t="s">
        <v>248</v>
      </c>
      <c r="J191" s="187"/>
    </row>
    <row r="192" spans="1:10">
      <c r="A192" s="182"/>
      <c r="J192" s="187"/>
    </row>
    <row r="193" spans="1:10">
      <c r="A193" s="182"/>
      <c r="B193" s="194" t="s">
        <v>249</v>
      </c>
      <c r="C193" s="194"/>
      <c r="D193" s="194"/>
      <c r="E193" s="194"/>
      <c r="F193" s="194"/>
      <c r="G193" s="194"/>
      <c r="H193" s="194"/>
      <c r="I193" s="194"/>
      <c r="J193" s="187"/>
    </row>
    <row r="194" spans="1:10">
      <c r="A194" s="182"/>
      <c r="J194" s="187"/>
    </row>
    <row r="195" spans="1:10" ht="15">
      <c r="A195" s="182"/>
      <c r="B195" s="234" t="s">
        <v>294</v>
      </c>
      <c r="C195" s="234"/>
      <c r="D195" s="234"/>
      <c r="E195" s="388">
        <f ca="1">OFFSET(Sheet2!$B43,,Sheet2!$C$39)</f>
        <v>6500</v>
      </c>
      <c r="F195" s="288" t="s">
        <v>234</v>
      </c>
      <c r="H195" s="178" t="s">
        <v>296</v>
      </c>
      <c r="J195" s="187"/>
    </row>
    <row r="196" spans="1:10" ht="15">
      <c r="A196" s="182"/>
      <c r="B196" s="234" t="s">
        <v>295</v>
      </c>
      <c r="C196" s="234"/>
      <c r="D196" s="234"/>
      <c r="E196" s="388">
        <f ca="1">OFFSET(Sheet2!$B44,,Sheet2!$C$39)</f>
        <v>18.600000000000001</v>
      </c>
      <c r="F196" s="288" t="s">
        <v>234</v>
      </c>
      <c r="H196" s="178" t="s">
        <v>200</v>
      </c>
      <c r="J196" s="187"/>
    </row>
    <row r="197" spans="1:10" ht="15">
      <c r="A197" s="182"/>
      <c r="B197" s="234" t="s">
        <v>203</v>
      </c>
      <c r="C197" s="234"/>
      <c r="D197" s="234"/>
      <c r="E197" s="388">
        <f ca="1">OFFSET(Sheet2!$B45,,Sheet2!$C$39)</f>
        <v>415</v>
      </c>
      <c r="F197" s="288" t="s">
        <v>234</v>
      </c>
      <c r="H197" s="178" t="s">
        <v>204</v>
      </c>
      <c r="J197" s="187"/>
    </row>
    <row r="198" spans="1:10" ht="15">
      <c r="A198" s="182"/>
      <c r="B198" s="234" t="s">
        <v>205</v>
      </c>
      <c r="C198" s="234"/>
      <c r="D198" s="234"/>
      <c r="E198" s="388">
        <f ca="1">OFFSET(Sheet2!$B46,,Sheet2!$C$39)</f>
        <v>0</v>
      </c>
      <c r="F198" s="288" t="s">
        <v>234</v>
      </c>
      <c r="G198" s="184"/>
      <c r="H198" s="178" t="s">
        <v>200</v>
      </c>
      <c r="I198" s="184"/>
      <c r="J198" s="187"/>
    </row>
    <row r="199" spans="1:10" ht="15">
      <c r="A199" s="182"/>
      <c r="B199" s="234" t="s">
        <v>206</v>
      </c>
      <c r="C199" s="234"/>
      <c r="D199" s="234"/>
      <c r="E199" s="388">
        <f ca="1">OFFSET(Sheet2!$B47,,Sheet2!$C$39)</f>
        <v>1200</v>
      </c>
      <c r="F199" s="288" t="s">
        <v>234</v>
      </c>
      <c r="G199" s="184"/>
      <c r="H199" s="178" t="s">
        <v>204</v>
      </c>
      <c r="I199" s="184"/>
      <c r="J199" s="187"/>
    </row>
    <row r="200" spans="1:10" ht="15">
      <c r="A200" s="182"/>
      <c r="B200" s="234" t="s">
        <v>207</v>
      </c>
      <c r="C200" s="234"/>
      <c r="D200" s="234"/>
      <c r="E200" s="388">
        <f ca="1">OFFSET(Sheet2!$B48,,Sheet2!$C$39)</f>
        <v>400</v>
      </c>
      <c r="F200" s="288" t="s">
        <v>234</v>
      </c>
      <c r="G200" s="184"/>
      <c r="H200" s="178" t="s">
        <v>204</v>
      </c>
      <c r="I200" s="184"/>
      <c r="J200" s="187"/>
    </row>
    <row r="201" spans="1:10" ht="15">
      <c r="A201" s="182"/>
      <c r="B201" s="234" t="s">
        <v>208</v>
      </c>
      <c r="C201" s="234"/>
      <c r="D201" s="234"/>
      <c r="E201" s="388">
        <f ca="1">OFFSET(Sheet2!$B49,,Sheet2!$C$39)</f>
        <v>600</v>
      </c>
      <c r="F201" s="288" t="s">
        <v>234</v>
      </c>
      <c r="G201" s="184"/>
      <c r="H201" s="178" t="s">
        <v>204</v>
      </c>
      <c r="I201" s="184"/>
      <c r="J201" s="187"/>
    </row>
    <row r="202" spans="1:10" ht="15">
      <c r="A202" s="182"/>
      <c r="B202" s="234" t="s">
        <v>209</v>
      </c>
      <c r="C202" s="234"/>
      <c r="D202" s="234"/>
      <c r="E202" s="388">
        <f ca="1">OFFSET(Sheet2!$B50,,Sheet2!$C$39)</f>
        <v>0</v>
      </c>
      <c r="F202" s="288" t="s">
        <v>234</v>
      </c>
      <c r="G202" s="184"/>
      <c r="H202" s="178" t="s">
        <v>204</v>
      </c>
      <c r="I202" s="184"/>
      <c r="J202" s="187"/>
    </row>
    <row r="203" spans="1:10" ht="15">
      <c r="A203" s="182"/>
      <c r="B203" s="234" t="s">
        <v>210</v>
      </c>
      <c r="C203" s="234"/>
      <c r="D203" s="234"/>
      <c r="E203" s="388">
        <f ca="1">OFFSET(Sheet2!$B51,,Sheet2!$C$39)</f>
        <v>780</v>
      </c>
      <c r="F203" s="288" t="s">
        <v>234</v>
      </c>
      <c r="G203" s="184"/>
      <c r="H203" s="178" t="s">
        <v>204</v>
      </c>
      <c r="I203" s="184"/>
      <c r="J203" s="187"/>
    </row>
    <row r="204" spans="1:10" ht="15">
      <c r="A204" s="182"/>
      <c r="B204" s="234" t="s">
        <v>211</v>
      </c>
      <c r="C204" s="234"/>
      <c r="D204" s="234"/>
      <c r="E204" s="388">
        <f ca="1">OFFSET(Sheet2!$B52,,Sheet2!$C$39)</f>
        <v>5100</v>
      </c>
      <c r="F204" s="288" t="s">
        <v>234</v>
      </c>
      <c r="G204" s="184"/>
      <c r="H204" s="178" t="s">
        <v>204</v>
      </c>
      <c r="I204" s="184"/>
      <c r="J204" s="187"/>
    </row>
    <row r="205" spans="1:10" ht="15">
      <c r="A205" s="182"/>
      <c r="B205" s="234" t="s">
        <v>250</v>
      </c>
      <c r="C205" s="234"/>
      <c r="D205" s="234"/>
      <c r="E205" s="388">
        <f ca="1">OFFSET(Sheet2!$B53,,Sheet2!$C$39)</f>
        <v>1200</v>
      </c>
      <c r="F205" s="288" t="s">
        <v>234</v>
      </c>
      <c r="G205" s="184"/>
      <c r="H205" s="178" t="s">
        <v>204</v>
      </c>
      <c r="I205" s="184"/>
      <c r="J205" s="187"/>
    </row>
    <row r="206" spans="1:10" ht="15">
      <c r="A206" s="182"/>
      <c r="B206" s="234" t="s">
        <v>213</v>
      </c>
      <c r="C206" s="234"/>
      <c r="D206" s="234"/>
      <c r="E206" s="388">
        <f ca="1">OFFSET(Sheet2!$B54,,Sheet2!$C$39)</f>
        <v>0</v>
      </c>
      <c r="F206" s="288" t="s">
        <v>234</v>
      </c>
      <c r="G206" s="184"/>
      <c r="H206" s="178" t="s">
        <v>204</v>
      </c>
      <c r="I206" s="184"/>
      <c r="J206" s="187"/>
    </row>
    <row r="207" spans="1:10" ht="15">
      <c r="A207" s="182"/>
      <c r="B207" s="234" t="s">
        <v>214</v>
      </c>
      <c r="C207" s="234"/>
      <c r="D207" s="234"/>
      <c r="E207" s="388">
        <f ca="1">OFFSET(Sheet2!$B55,,Sheet2!$C$39)</f>
        <v>400</v>
      </c>
      <c r="F207" s="288" t="s">
        <v>234</v>
      </c>
      <c r="G207" s="184"/>
      <c r="H207" s="178" t="s">
        <v>204</v>
      </c>
      <c r="I207" s="184"/>
      <c r="J207" s="187"/>
    </row>
    <row r="208" spans="1:10" ht="15">
      <c r="A208" s="182"/>
      <c r="B208" s="234" t="s">
        <v>215</v>
      </c>
      <c r="C208" s="234"/>
      <c r="D208" s="234"/>
      <c r="E208" s="388">
        <f ca="1">OFFSET(Sheet2!$B56,,Sheet2!$C$39)</f>
        <v>310</v>
      </c>
      <c r="F208" s="288" t="s">
        <v>234</v>
      </c>
      <c r="G208" s="184"/>
      <c r="H208" s="178" t="s">
        <v>216</v>
      </c>
      <c r="I208" s="184"/>
      <c r="J208" s="187"/>
    </row>
    <row r="209" spans="1:10" ht="15" customHeight="1">
      <c r="A209" s="182"/>
      <c r="B209" s="440"/>
      <c r="C209" s="440"/>
      <c r="D209" s="440"/>
      <c r="E209" s="184"/>
      <c r="F209" s="184"/>
      <c r="G209" s="184"/>
      <c r="H209" s="184"/>
      <c r="I209" s="184"/>
      <c r="J209" s="187"/>
    </row>
    <row r="210" spans="1:10">
      <c r="A210" s="182"/>
      <c r="B210" s="184"/>
      <c r="C210" s="184"/>
      <c r="D210" s="184"/>
      <c r="E210" s="184"/>
      <c r="F210" s="184"/>
      <c r="G210" s="184"/>
      <c r="H210" s="184"/>
      <c r="I210" s="184"/>
      <c r="J210" s="187"/>
    </row>
    <row r="211" spans="1:10">
      <c r="A211" s="182"/>
      <c r="B211" s="184"/>
      <c r="C211" s="184"/>
      <c r="D211" s="184"/>
      <c r="E211" s="184"/>
      <c r="F211" s="184"/>
      <c r="G211" s="184"/>
      <c r="H211" s="184"/>
      <c r="I211" s="184"/>
      <c r="J211" s="187"/>
    </row>
    <row r="212" spans="1:10">
      <c r="A212" s="182"/>
      <c r="B212" s="184"/>
      <c r="C212" s="184"/>
      <c r="D212" s="184"/>
      <c r="E212" s="184"/>
      <c r="F212" s="184"/>
      <c r="G212" s="184"/>
      <c r="H212" s="184"/>
      <c r="I212" s="184"/>
      <c r="J212" s="187"/>
    </row>
    <row r="213" spans="1:10">
      <c r="A213" s="182"/>
      <c r="B213" s="184"/>
      <c r="C213" s="184"/>
      <c r="D213" s="184"/>
      <c r="E213" s="184"/>
      <c r="F213" s="184"/>
      <c r="G213" s="184"/>
      <c r="H213" s="184"/>
      <c r="I213" s="184"/>
      <c r="J213" s="187"/>
    </row>
    <row r="214" spans="1:10">
      <c r="A214" s="182"/>
      <c r="B214" s="184"/>
      <c r="C214" s="184"/>
      <c r="D214" s="184"/>
      <c r="E214" s="184"/>
      <c r="F214" s="184"/>
      <c r="G214" s="184"/>
      <c r="H214" s="184"/>
      <c r="I214" s="184"/>
      <c r="J214" s="187"/>
    </row>
    <row r="215" spans="1:10">
      <c r="A215" s="182"/>
      <c r="B215" s="184"/>
      <c r="C215" s="184"/>
      <c r="D215" s="184"/>
      <c r="E215" s="184"/>
      <c r="F215" s="184"/>
      <c r="G215" s="184"/>
      <c r="H215" s="184"/>
      <c r="I215" s="184"/>
      <c r="J215" s="187"/>
    </row>
    <row r="216" spans="1:10" ht="13.5" thickBot="1">
      <c r="A216" s="205"/>
      <c r="B216" s="206"/>
      <c r="C216" s="206"/>
      <c r="D216" s="206"/>
      <c r="E216" s="206"/>
      <c r="F216" s="206"/>
      <c r="G216" s="206"/>
      <c r="H216" s="206"/>
      <c r="I216" s="206"/>
      <c r="J216" s="207"/>
    </row>
  </sheetData>
  <mergeCells count="3">
    <mergeCell ref="B158:D158"/>
    <mergeCell ref="B209:D209"/>
    <mergeCell ref="B99:D99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&amp;CWater Management Program&amp;R&amp;P of &amp;N</oddHeader>
    <oddFooter>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2" r:id="rId4" name="Button 6">
              <controlPr defaultSize="0" print="0" autoFill="0" autoPict="0" macro="[0]!ReportPDF">
                <anchor>
                  <from>
                    <xdr:col>7</xdr:col>
                    <xdr:colOff>285750</xdr:colOff>
                    <xdr:row>1</xdr:row>
                    <xdr:rowOff>28575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5" name="Button 8">
              <controlPr defaultSize="0" print="0" autoFill="0" autoPict="0" macro="[0]!Home">
                <anchor>
                  <from>
                    <xdr:col>5</xdr:col>
                    <xdr:colOff>161925</xdr:colOff>
                    <xdr:row>1</xdr:row>
                    <xdr:rowOff>28575</xdr:rowOff>
                  </from>
                  <to>
                    <xdr:col>7</xdr:col>
                    <xdr:colOff>295275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CF153"/>
  <sheetViews>
    <sheetView showGridLines="0" topLeftCell="R124" zoomScale="96" zoomScaleNormal="96" workbookViewId="0">
      <selection activeCell="U188" sqref="U188"/>
    </sheetView>
  </sheetViews>
  <sheetFormatPr defaultColWidth="9" defaultRowHeight="12.75"/>
  <cols>
    <col min="1" max="1" width="9" style="1"/>
    <col min="2" max="2" width="4.25" style="1" customWidth="1"/>
    <col min="3" max="3" width="9" style="1" customWidth="1"/>
    <col min="4" max="4" width="2.75" style="1" bestFit="1" customWidth="1"/>
    <col min="5" max="5" width="3.25" style="1" bestFit="1" customWidth="1"/>
    <col min="6" max="6" width="2.75" style="1" bestFit="1" customWidth="1"/>
    <col min="7" max="7" width="9" style="1"/>
    <col min="8" max="8" width="3" style="1" customWidth="1"/>
    <col min="9" max="9" width="4.375" style="1" customWidth="1"/>
    <col min="10" max="17" width="3" style="1" customWidth="1"/>
    <col min="18" max="18" width="3.5" style="1" customWidth="1"/>
    <col min="19" max="19" width="3.625" style="1" customWidth="1"/>
    <col min="20" max="20" width="2.625" style="1" customWidth="1"/>
    <col min="21" max="21" width="2.875" style="1" customWidth="1"/>
    <col min="22" max="22" width="3.125" style="1" customWidth="1"/>
    <col min="23" max="23" width="3.875" style="1" customWidth="1"/>
    <col min="24" max="39" width="3.125" style="1" customWidth="1"/>
    <col min="40" max="40" width="10.375" style="1" customWidth="1"/>
    <col min="41" max="42" width="9" style="1"/>
    <col min="43" max="43" width="4.875" style="1" customWidth="1"/>
    <col min="44" max="48" width="4.5" style="1" customWidth="1"/>
    <col min="49" max="16384" width="9" style="1"/>
  </cols>
  <sheetData>
    <row r="2" spans="2:13">
      <c r="D2" s="1">
        <v>1</v>
      </c>
      <c r="K2" s="1">
        <v>1</v>
      </c>
      <c r="L2" s="1">
        <v>2</v>
      </c>
      <c r="M2" s="1">
        <v>3</v>
      </c>
    </row>
    <row r="3" spans="2:13">
      <c r="C3" s="4" t="s">
        <v>85</v>
      </c>
      <c r="D3" s="4" t="s">
        <v>86</v>
      </c>
      <c r="E3" s="4"/>
      <c r="F3" s="4"/>
      <c r="J3" s="4" t="s">
        <v>85</v>
      </c>
      <c r="K3" s="4" t="s">
        <v>86</v>
      </c>
      <c r="L3" s="4" t="s">
        <v>88</v>
      </c>
      <c r="M3" s="4" t="s">
        <v>87</v>
      </c>
    </row>
    <row r="4" spans="2:13">
      <c r="B4" s="1">
        <v>0</v>
      </c>
      <c r="C4" s="1">
        <f>C5</f>
        <v>36</v>
      </c>
      <c r="D4" s="1">
        <f>Tsw</f>
        <v>20</v>
      </c>
      <c r="E4" s="2"/>
      <c r="I4" s="1">
        <f>B4</f>
        <v>0</v>
      </c>
      <c r="J4" s="2">
        <f>L4+Dtca</f>
        <v>47.17</v>
      </c>
      <c r="K4" s="1">
        <f>L5</f>
        <v>31.169999999999998</v>
      </c>
      <c r="L4" s="2">
        <f>L5+Dtcr</f>
        <v>41.17</v>
      </c>
      <c r="M4" s="1">
        <f>Tair</f>
        <v>40</v>
      </c>
    </row>
    <row r="5" spans="2:13">
      <c r="B5" s="2">
        <f>Qmcr+B4</f>
        <v>900</v>
      </c>
      <c r="C5" s="1">
        <f>D5+Dtca</f>
        <v>36</v>
      </c>
      <c r="D5" s="1">
        <f>Tsw+Dtcr</f>
        <v>30</v>
      </c>
      <c r="I5" s="2">
        <f>Qmcr+I4</f>
        <v>900</v>
      </c>
      <c r="J5" s="2">
        <f>J4</f>
        <v>47.17</v>
      </c>
      <c r="K5" s="2">
        <f>L4</f>
        <v>41.17</v>
      </c>
      <c r="L5" s="1">
        <f>Twb+Dtta</f>
        <v>31.169999999999998</v>
      </c>
      <c r="M5" s="1">
        <f>Tair+Dtcr</f>
        <v>50</v>
      </c>
    </row>
    <row r="6" spans="2:13">
      <c r="B6" s="2"/>
      <c r="I6" s="2">
        <f>I5*1</f>
        <v>900</v>
      </c>
      <c r="K6" s="1">
        <f>K5</f>
        <v>41.17</v>
      </c>
      <c r="L6" s="1">
        <f>Twb+Dtcr</f>
        <v>35.17</v>
      </c>
      <c r="M6" s="1">
        <f>Tair+Dtcr</f>
        <v>50</v>
      </c>
    </row>
    <row r="7" spans="2:13">
      <c r="B7" s="2"/>
      <c r="I7" s="2">
        <f>I6+Qmcr</f>
        <v>1800</v>
      </c>
      <c r="K7" s="1">
        <f>K4</f>
        <v>31.169999999999998</v>
      </c>
      <c r="L7" s="1">
        <f>Twb</f>
        <v>25.169999999999998</v>
      </c>
      <c r="M7" s="1">
        <f>Tair</f>
        <v>40</v>
      </c>
    </row>
    <row r="26" spans="8:40">
      <c r="AN26" s="3"/>
    </row>
    <row r="27" spans="8:40">
      <c r="AN27" s="3"/>
    </row>
    <row r="28" spans="8:40">
      <c r="AN28" s="3"/>
    </row>
    <row r="29" spans="8:40">
      <c r="H29" s="3"/>
      <c r="I29" s="3"/>
      <c r="J29" s="3"/>
      <c r="K29" s="3"/>
      <c r="M29" s="3"/>
      <c r="N29" s="3"/>
      <c r="O29" s="3"/>
      <c r="P29" s="3"/>
      <c r="Q29" s="3"/>
      <c r="R29" s="3"/>
      <c r="S29" s="3"/>
      <c r="T29" s="3"/>
      <c r="AN29" s="3"/>
    </row>
    <row r="30" spans="8:40">
      <c r="H30" s="3"/>
      <c r="I30" s="3"/>
      <c r="J30" s="3"/>
      <c r="K30" s="3"/>
      <c r="L30" s="3"/>
      <c r="M30" s="3"/>
      <c r="N30" s="3"/>
      <c r="O30" s="3"/>
      <c r="P30" s="3"/>
      <c r="Q30" s="3"/>
      <c r="T30" s="3"/>
      <c r="AN30" s="3"/>
    </row>
    <row r="31" spans="8:40"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AN31" s="3"/>
    </row>
    <row r="32" spans="8:40">
      <c r="H32" s="3"/>
      <c r="J32" s="3"/>
      <c r="K32" s="3"/>
      <c r="L32" s="3"/>
      <c r="M32" s="3"/>
      <c r="N32" s="3"/>
      <c r="Q32" s="3"/>
      <c r="R32" s="3"/>
      <c r="AN32" s="3"/>
    </row>
    <row r="33" spans="8:40">
      <c r="H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AN33" s="3"/>
    </row>
    <row r="34" spans="8:40">
      <c r="H34" s="3"/>
      <c r="I34" s="3"/>
      <c r="J34" s="3"/>
      <c r="K34" s="3"/>
      <c r="L34" s="3"/>
      <c r="M34" s="3"/>
      <c r="N34" s="3"/>
      <c r="O34" s="3"/>
      <c r="P34" s="3"/>
      <c r="Q34" s="3"/>
      <c r="T34" s="3"/>
      <c r="AN34" s="3"/>
    </row>
    <row r="35" spans="8:40">
      <c r="H35" s="3"/>
      <c r="I35" s="3"/>
      <c r="J35" s="3"/>
      <c r="K35" s="3"/>
      <c r="L35" s="3">
        <f>Tc</f>
        <v>47.17</v>
      </c>
      <c r="M35" s="3"/>
      <c r="N35" s="3"/>
      <c r="O35" s="3"/>
      <c r="P35" s="3"/>
      <c r="Q35" s="3"/>
      <c r="R35" s="3"/>
      <c r="S35" s="3"/>
      <c r="T35" s="3"/>
      <c r="AN35" s="3"/>
    </row>
    <row r="36" spans="8:40"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AN36" s="3"/>
    </row>
    <row r="37" spans="8:40"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AN37" s="3"/>
    </row>
    <row r="38" spans="8:40">
      <c r="AN38" s="3"/>
    </row>
    <row r="39" spans="8:40"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</row>
    <row r="45" spans="8:40">
      <c r="R45" s="1">
        <f>Tc</f>
        <v>47.17</v>
      </c>
      <c r="S45" s="1" t="s">
        <v>12</v>
      </c>
    </row>
    <row r="46" spans="8:40" ht="15">
      <c r="S46" s="230" t="s">
        <v>227</v>
      </c>
      <c r="X46" s="1">
        <f>Tsw</f>
        <v>20</v>
      </c>
      <c r="Y46" s="1" t="s">
        <v>12</v>
      </c>
    </row>
    <row r="48" spans="8:40" ht="15">
      <c r="O48" s="446">
        <f>Qmcr</f>
        <v>900</v>
      </c>
      <c r="P48" s="446"/>
      <c r="U48" s="231">
        <f>Fmcc</f>
        <v>21.495103893002149</v>
      </c>
      <c r="V48" s="3" t="s">
        <v>11</v>
      </c>
    </row>
    <row r="49" spans="8:16">
      <c r="H49" s="1">
        <f>Tsw+Dtcr</f>
        <v>30</v>
      </c>
      <c r="I49" s="1" t="s">
        <v>12</v>
      </c>
      <c r="O49" s="447" t="s">
        <v>6</v>
      </c>
      <c r="P49" s="447"/>
    </row>
    <row r="76" spans="40:43">
      <c r="AQ76" s="271"/>
    </row>
    <row r="77" spans="40:43">
      <c r="AN77" s="286" t="s">
        <v>321</v>
      </c>
    </row>
    <row r="78" spans="40:43">
      <c r="AN78" s="285">
        <f>Fmu</f>
        <v>0.48325079344442173</v>
      </c>
      <c r="AO78" s="273" t="s">
        <v>11</v>
      </c>
    </row>
    <row r="79" spans="40:43">
      <c r="AO79" s="266" t="s">
        <v>315</v>
      </c>
    </row>
    <row r="80" spans="40:43">
      <c r="AN80" s="275"/>
    </row>
    <row r="81" spans="7:45"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AN81" s="275"/>
    </row>
    <row r="82" spans="7:4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AN82" s="275"/>
    </row>
    <row r="83" spans="7:4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AN83" s="275"/>
    </row>
    <row r="84" spans="7:45">
      <c r="G84" s="3"/>
      <c r="H84" s="3"/>
      <c r="I84" s="3"/>
      <c r="J84" s="3"/>
      <c r="K84" s="3"/>
      <c r="L84" s="3">
        <f>Tc</f>
        <v>47.17</v>
      </c>
      <c r="M84" s="1" t="s">
        <v>12</v>
      </c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AN84" s="271"/>
      <c r="AP84" s="266" t="s">
        <v>317</v>
      </c>
    </row>
    <row r="85" spans="7:45">
      <c r="G85" s="3"/>
      <c r="H85" s="3"/>
      <c r="I85" s="3"/>
      <c r="J85" s="3"/>
      <c r="K85" s="3"/>
      <c r="L85" s="3"/>
      <c r="M85" s="3"/>
      <c r="N85" s="3"/>
      <c r="O85" s="3"/>
      <c r="P85" s="3">
        <f>O89+Dtcr</f>
        <v>41.17</v>
      </c>
      <c r="Q85" s="3" t="s">
        <v>12</v>
      </c>
      <c r="R85" s="3"/>
      <c r="S85" s="3"/>
      <c r="T85" s="3"/>
      <c r="U85" s="3"/>
      <c r="V85" s="3"/>
      <c r="W85" s="3"/>
      <c r="X85" s="3"/>
      <c r="Y85" s="3"/>
      <c r="AN85" s="271"/>
      <c r="AP85" s="266" t="s">
        <v>322</v>
      </c>
    </row>
    <row r="86" spans="7:45"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AN86" s="271"/>
    </row>
    <row r="87" spans="7:45">
      <c r="H87" s="448">
        <f>Qmcr</f>
        <v>900</v>
      </c>
      <c r="I87" s="448"/>
      <c r="J87" s="3"/>
      <c r="K87" s="3"/>
      <c r="L87" s="3"/>
      <c r="M87" s="3"/>
      <c r="N87" s="3"/>
      <c r="O87" s="3">
        <f>Fmcc</f>
        <v>21.495103893002149</v>
      </c>
      <c r="P87" s="3" t="s">
        <v>11</v>
      </c>
      <c r="Q87" s="3"/>
      <c r="R87" s="3"/>
      <c r="S87" s="3"/>
      <c r="T87" s="3"/>
      <c r="U87" s="3"/>
      <c r="V87" s="3"/>
      <c r="W87" s="3"/>
      <c r="X87" s="3"/>
      <c r="Y87" s="3"/>
      <c r="AN87" s="271"/>
    </row>
    <row r="88" spans="7:45">
      <c r="G88" s="3"/>
      <c r="H88" s="3" t="s">
        <v>6</v>
      </c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AN88" s="277"/>
    </row>
    <row r="89" spans="7:45">
      <c r="G89" s="3"/>
      <c r="H89" s="3"/>
      <c r="I89" s="3"/>
      <c r="J89" s="3"/>
      <c r="K89" s="3"/>
      <c r="L89" s="3"/>
      <c r="M89" s="3"/>
      <c r="N89" s="3"/>
      <c r="O89" s="3">
        <f>Twb+Dtta</f>
        <v>31.169999999999998</v>
      </c>
      <c r="P89" s="3" t="s">
        <v>12</v>
      </c>
      <c r="Q89" s="3"/>
      <c r="R89" s="3"/>
      <c r="S89" s="3"/>
      <c r="T89" s="3"/>
      <c r="U89" s="3"/>
      <c r="V89" s="3"/>
      <c r="W89" s="3"/>
      <c r="X89" s="3"/>
      <c r="Y89" s="3"/>
      <c r="AN89" s="274"/>
    </row>
    <row r="90" spans="7:45" ht="15">
      <c r="G90" s="3"/>
      <c r="H90" s="3"/>
      <c r="I90" s="3"/>
      <c r="J90" s="3"/>
      <c r="K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AN90" s="274"/>
      <c r="AQ90" s="263"/>
    </row>
    <row r="91" spans="7:45" ht="15">
      <c r="G91" s="3"/>
      <c r="H91" s="3"/>
      <c r="I91" s="3"/>
      <c r="J91" s="3"/>
      <c r="K91" s="3">
        <f>Tc</f>
        <v>47.17</v>
      </c>
      <c r="L91" s="1" t="s">
        <v>12</v>
      </c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AN91" s="278"/>
      <c r="AQ91" s="263" t="s">
        <v>320</v>
      </c>
      <c r="AS91" s="263" t="b">
        <f>NH3_&gt;5</f>
        <v>0</v>
      </c>
    </row>
    <row r="92" spans="7:45" ht="15">
      <c r="G92" s="3"/>
      <c r="H92" s="3"/>
      <c r="O92" s="3"/>
      <c r="P92" s="3"/>
      <c r="Q92" s="3"/>
      <c r="R92" s="245">
        <f>Fb</f>
        <v>7.6242778128803187E-2</v>
      </c>
      <c r="S92" s="295" t="s">
        <v>354</v>
      </c>
      <c r="T92" s="281">
        <f>Fmu</f>
        <v>0.48325079344442173</v>
      </c>
      <c r="U92" s="295" t="s">
        <v>354</v>
      </c>
      <c r="V92" s="3"/>
      <c r="W92" s="3"/>
      <c r="X92" s="3"/>
      <c r="Y92" s="3"/>
      <c r="AN92" s="279"/>
      <c r="AQ92" s="263" t="s">
        <v>316</v>
      </c>
      <c r="AS92" s="263" t="b">
        <f>TDS&gt;1000</f>
        <v>0</v>
      </c>
    </row>
    <row r="93" spans="7:45" ht="15"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AN93" s="277"/>
      <c r="AQ93" s="263" t="s">
        <v>348</v>
      </c>
      <c r="AS93" s="263" t="b">
        <f>TDS&gt;2000</f>
        <v>0</v>
      </c>
    </row>
    <row r="94" spans="7:45" ht="15">
      <c r="AN94" s="272"/>
      <c r="AQ94" s="263" t="s">
        <v>345</v>
      </c>
      <c r="AS94" s="263" t="b">
        <f>TSS&gt;10</f>
        <v>0</v>
      </c>
    </row>
    <row r="95" spans="7:45" ht="15">
      <c r="AN95" s="279"/>
      <c r="AQ95" s="263"/>
    </row>
    <row r="96" spans="7:45" ht="15">
      <c r="AQ96" s="263"/>
    </row>
    <row r="105" spans="5:42">
      <c r="AG105" s="265" t="str">
        <f xml:space="preserve"> IF(NH3&gt;5,AG109,"") &amp; IF(TSS&gt;5,AG112 &amp; CHAR(10),"") &amp; CHAR(10) &amp; IF(TDS&gt;1000,AG110,"")</f>
        <v xml:space="preserve">
</v>
      </c>
    </row>
    <row r="106" spans="5:42">
      <c r="E106" s="259"/>
      <c r="F106" s="259"/>
      <c r="G106" s="259"/>
      <c r="H106" s="259"/>
      <c r="I106" s="259"/>
      <c r="J106" s="259"/>
      <c r="K106" s="259"/>
      <c r="L106" s="259"/>
      <c r="M106" s="259"/>
      <c r="N106" s="259"/>
      <c r="O106" s="259"/>
      <c r="P106" s="259"/>
      <c r="Q106" s="259"/>
      <c r="R106" s="259"/>
      <c r="S106" s="259"/>
      <c r="T106" s="259"/>
      <c r="U106" s="259"/>
      <c r="V106" s="259"/>
      <c r="W106" s="259"/>
      <c r="X106" s="259"/>
      <c r="Y106" s="259"/>
      <c r="Z106" s="259"/>
    </row>
    <row r="107" spans="5:42" ht="15">
      <c r="E107" s="259"/>
      <c r="F107" s="259"/>
      <c r="G107" s="259"/>
      <c r="H107" s="259"/>
      <c r="I107" s="259"/>
      <c r="J107" s="259"/>
      <c r="K107" s="259"/>
      <c r="L107" s="259"/>
      <c r="M107" s="259"/>
      <c r="N107" s="259"/>
      <c r="O107" s="259"/>
      <c r="P107" s="259"/>
      <c r="Q107" s="259"/>
      <c r="R107" s="259"/>
      <c r="T107" s="259"/>
      <c r="U107" s="259"/>
      <c r="X107" s="259"/>
      <c r="Y107" s="259"/>
      <c r="Z107" s="259"/>
      <c r="AF107" s="263"/>
      <c r="AG107" s="263"/>
      <c r="AH107" s="263"/>
      <c r="AI107" s="263"/>
      <c r="AJ107" s="263"/>
      <c r="AK107" s="263"/>
      <c r="AL107" s="263"/>
      <c r="AM107" s="263"/>
      <c r="AN107" s="263"/>
      <c r="AO107" s="263"/>
      <c r="AP107" s="263"/>
    </row>
    <row r="108" spans="5:42" ht="15">
      <c r="E108" s="259"/>
      <c r="F108" s="259"/>
      <c r="G108" s="259"/>
      <c r="H108" s="259"/>
      <c r="I108" s="259"/>
      <c r="J108" s="259"/>
      <c r="K108" s="259"/>
      <c r="L108" s="259"/>
      <c r="M108" s="259"/>
      <c r="N108" s="259"/>
      <c r="O108" s="259"/>
      <c r="P108" s="259"/>
      <c r="Q108" s="259"/>
      <c r="T108" s="262" t="s">
        <v>23</v>
      </c>
      <c r="U108" s="259">
        <f>Tair</f>
        <v>40</v>
      </c>
      <c r="V108" s="259" t="s">
        <v>12</v>
      </c>
      <c r="W108" s="259"/>
      <c r="X108" s="259"/>
      <c r="Y108" s="259"/>
      <c r="Z108" s="259"/>
      <c r="AF108" s="263"/>
      <c r="AG108" s="263"/>
      <c r="AH108" s="263"/>
      <c r="AI108" s="263"/>
      <c r="AJ108" s="263"/>
      <c r="AK108" s="263"/>
      <c r="AL108" s="263"/>
      <c r="AM108" s="263"/>
      <c r="AN108" s="263"/>
      <c r="AO108" s="263"/>
      <c r="AP108" s="263"/>
    </row>
    <row r="109" spans="5:42" ht="15">
      <c r="E109" s="259"/>
      <c r="F109" s="259"/>
      <c r="G109" s="259"/>
      <c r="H109" s="259"/>
      <c r="I109" s="259"/>
      <c r="J109" s="259"/>
      <c r="K109" s="259"/>
      <c r="L109" s="259"/>
      <c r="M109" s="259"/>
      <c r="N109" s="259"/>
      <c r="O109" s="259"/>
      <c r="P109" s="259"/>
      <c r="Q109" s="259"/>
      <c r="R109" s="259"/>
      <c r="S109" s="259"/>
      <c r="T109" s="259"/>
      <c r="U109" s="259"/>
      <c r="V109" s="259"/>
      <c r="W109" s="259"/>
      <c r="X109" s="259"/>
      <c r="Y109" s="259"/>
      <c r="Z109" s="259"/>
      <c r="AF109" s="263"/>
      <c r="AG109" s="263" t="s">
        <v>315</v>
      </c>
      <c r="AH109" s="263"/>
      <c r="AI109" s="263"/>
      <c r="AJ109" s="263"/>
      <c r="AK109" s="263"/>
      <c r="AL109" s="263"/>
      <c r="AM109" s="263"/>
      <c r="AN109" s="263" t="s">
        <v>320</v>
      </c>
      <c r="AO109" s="263"/>
      <c r="AP109" s="263" t="str">
        <f>IF(NH3_&gt;5,"Trickling filters","No ammonia treatment")</f>
        <v>No ammonia treatment</v>
      </c>
    </row>
    <row r="110" spans="5:42" ht="15">
      <c r="E110" s="259"/>
      <c r="F110" s="259"/>
      <c r="G110" s="259"/>
      <c r="H110" s="259"/>
      <c r="I110" s="259"/>
      <c r="J110" s="259"/>
      <c r="K110" s="259"/>
      <c r="L110" s="259"/>
      <c r="M110" s="259"/>
      <c r="N110" s="259"/>
      <c r="O110" s="259"/>
      <c r="P110" s="259"/>
      <c r="Q110" s="259"/>
      <c r="R110" s="259"/>
      <c r="S110" s="259"/>
      <c r="T110" s="259"/>
      <c r="U110" s="259"/>
      <c r="V110" s="259"/>
      <c r="W110" s="259"/>
      <c r="X110" s="259"/>
      <c r="Y110" s="259"/>
      <c r="Z110" s="259"/>
      <c r="AF110" s="263"/>
      <c r="AG110" s="263" t="s">
        <v>317</v>
      </c>
      <c r="AH110" s="263"/>
      <c r="AI110" s="263"/>
      <c r="AJ110" s="263"/>
      <c r="AK110" s="263"/>
      <c r="AL110" s="263"/>
      <c r="AM110" s="263"/>
      <c r="AN110" s="263" t="s">
        <v>316</v>
      </c>
      <c r="AO110" s="263"/>
      <c r="AP110" s="263" t="str">
        <f>IF(TDS&gt;2000,"RO+SCC",IF(TDS&gt;1000,"SCC","No treatment"))</f>
        <v>No treatment</v>
      </c>
    </row>
    <row r="111" spans="5:42" ht="15">
      <c r="E111" s="259"/>
      <c r="F111" s="259"/>
      <c r="G111" s="259"/>
      <c r="H111" s="259"/>
      <c r="I111" s="259"/>
      <c r="J111" s="259"/>
      <c r="K111" s="259"/>
      <c r="L111" s="259"/>
      <c r="M111" s="259"/>
      <c r="N111" s="259"/>
      <c r="O111" s="259"/>
      <c r="P111" s="259"/>
      <c r="Q111" s="259"/>
      <c r="R111" s="259"/>
      <c r="S111" s="259"/>
      <c r="T111" s="259"/>
      <c r="U111" s="259"/>
      <c r="V111" s="259"/>
      <c r="W111" s="259"/>
      <c r="X111" s="259"/>
      <c r="Y111" s="259"/>
      <c r="Z111" s="259"/>
      <c r="AF111" s="263"/>
      <c r="AG111" s="263" t="s">
        <v>317</v>
      </c>
      <c r="AH111" s="263"/>
      <c r="AI111" s="263"/>
      <c r="AJ111" s="263"/>
      <c r="AK111" s="263"/>
      <c r="AL111" s="263"/>
      <c r="AM111" s="263"/>
      <c r="AN111" s="263" t="s">
        <v>318</v>
      </c>
      <c r="AO111" s="263"/>
      <c r="AP111" s="263"/>
    </row>
    <row r="112" spans="5:42" ht="15">
      <c r="E112" s="259"/>
      <c r="F112" s="259"/>
      <c r="G112" s="259"/>
      <c r="H112" s="259"/>
      <c r="I112" s="259"/>
      <c r="J112" s="259"/>
      <c r="K112" s="259"/>
      <c r="L112" s="259"/>
      <c r="M112" s="259"/>
      <c r="N112" s="259"/>
      <c r="O112" s="259"/>
      <c r="P112" s="259"/>
      <c r="Q112" s="259"/>
      <c r="R112" s="259"/>
      <c r="S112" s="259"/>
      <c r="T112" s="259"/>
      <c r="U112" s="259"/>
      <c r="V112" s="259"/>
      <c r="W112" s="259"/>
      <c r="X112" s="259"/>
      <c r="Y112" s="259"/>
      <c r="Z112" s="259"/>
      <c r="AF112" s="263"/>
      <c r="AG112" s="263" t="s">
        <v>319</v>
      </c>
      <c r="AH112" s="263"/>
      <c r="AI112" s="263"/>
      <c r="AJ112" s="263"/>
      <c r="AK112" s="263"/>
      <c r="AL112" s="263"/>
      <c r="AM112" s="263"/>
      <c r="AN112" s="263" t="s">
        <v>345</v>
      </c>
      <c r="AO112" s="263"/>
      <c r="AP112" s="263" t="str">
        <f>IF(TSS&gt;10,"Gravity filtration","No gravity filtration")</f>
        <v>No gravity filtration</v>
      </c>
    </row>
    <row r="113" spans="5:42" ht="15">
      <c r="E113" s="259"/>
      <c r="F113" s="259"/>
      <c r="G113" s="259"/>
      <c r="H113" s="259"/>
      <c r="I113" s="259"/>
      <c r="J113" s="259"/>
      <c r="K113" s="259"/>
      <c r="L113" s="259"/>
      <c r="M113" s="259"/>
      <c r="N113" s="259"/>
      <c r="O113" s="259">
        <f>Tpond+Dtcr</f>
        <v>60.195454478232662</v>
      </c>
      <c r="P113" s="259" t="s">
        <v>12</v>
      </c>
      <c r="Q113" s="259"/>
      <c r="R113" s="259"/>
      <c r="S113" s="259"/>
      <c r="T113" s="259"/>
      <c r="U113" s="259"/>
      <c r="V113" s="259"/>
      <c r="W113" s="259"/>
      <c r="X113" s="259"/>
      <c r="Y113" s="259"/>
      <c r="Z113" s="259"/>
      <c r="AF113" s="263"/>
      <c r="AG113" s="263"/>
      <c r="AH113" s="263"/>
      <c r="AI113" s="263"/>
      <c r="AJ113" s="263"/>
      <c r="AK113" s="263"/>
      <c r="AL113" s="263"/>
      <c r="AM113" s="263"/>
      <c r="AN113" s="263"/>
      <c r="AO113" s="263"/>
      <c r="AP113" s="263"/>
    </row>
    <row r="114" spans="5:42">
      <c r="E114" s="259"/>
      <c r="F114" s="259"/>
      <c r="G114" s="259"/>
      <c r="H114" s="259"/>
      <c r="I114" s="259"/>
      <c r="J114" s="259"/>
      <c r="K114" s="259"/>
      <c r="L114" s="259"/>
      <c r="M114" s="259"/>
      <c r="N114" s="259"/>
      <c r="Q114" s="259"/>
      <c r="R114" s="259"/>
      <c r="S114" s="259"/>
      <c r="T114" s="259"/>
      <c r="U114" s="259"/>
      <c r="V114" s="259"/>
      <c r="W114" s="259"/>
      <c r="X114" s="259"/>
      <c r="Y114" s="259"/>
      <c r="Z114" s="259"/>
    </row>
    <row r="115" spans="5:42">
      <c r="E115" s="259"/>
      <c r="F115" s="259"/>
      <c r="G115" s="260"/>
      <c r="H115" s="448">
        <f>Qmcr</f>
        <v>900</v>
      </c>
      <c r="I115" s="448"/>
      <c r="J115" s="259"/>
      <c r="K115" s="259"/>
      <c r="L115" s="259"/>
      <c r="M115" s="259"/>
      <c r="N115" s="259"/>
      <c r="O115" s="259"/>
      <c r="P115" s="259"/>
      <c r="Q115" s="259"/>
      <c r="R115" s="259"/>
      <c r="S115" s="259"/>
      <c r="T115" s="259"/>
      <c r="U115" s="259"/>
      <c r="V115" s="259"/>
      <c r="W115" s="259">
        <f>Tpond</f>
        <v>50.195454478232662</v>
      </c>
      <c r="X115" s="259" t="s">
        <v>12</v>
      </c>
      <c r="Y115" s="259"/>
      <c r="Z115" s="259"/>
    </row>
    <row r="116" spans="5:42">
      <c r="E116" s="259"/>
      <c r="F116" s="259"/>
      <c r="G116" s="3"/>
      <c r="H116" s="3" t="s">
        <v>6</v>
      </c>
      <c r="J116" s="259"/>
      <c r="K116" s="259"/>
      <c r="L116" s="259"/>
      <c r="M116" s="259"/>
      <c r="N116" s="259"/>
      <c r="O116" s="259">
        <f>Tpond</f>
        <v>50.195454478232662</v>
      </c>
      <c r="P116" s="259" t="s">
        <v>12</v>
      </c>
      <c r="Q116" s="259"/>
      <c r="R116" s="259"/>
      <c r="S116" s="259"/>
      <c r="T116" s="259"/>
      <c r="U116" s="259"/>
      <c r="V116" s="259"/>
      <c r="W116" s="259"/>
      <c r="X116" s="259"/>
      <c r="Y116" s="259"/>
      <c r="Z116" s="259"/>
    </row>
    <row r="117" spans="5:42">
      <c r="E117" s="259"/>
      <c r="F117" s="259"/>
      <c r="G117" s="259"/>
      <c r="H117" s="259"/>
      <c r="I117" s="259"/>
      <c r="J117" s="259"/>
      <c r="K117" s="259"/>
      <c r="L117" s="259"/>
      <c r="M117" s="259"/>
      <c r="N117" s="259"/>
      <c r="O117" s="259"/>
      <c r="P117" s="259"/>
      <c r="Q117" s="259"/>
      <c r="R117" s="259"/>
      <c r="S117" s="259"/>
      <c r="T117" s="259"/>
      <c r="U117" s="259"/>
      <c r="V117" s="259"/>
      <c r="W117" s="259"/>
      <c r="X117" s="259"/>
      <c r="Y117" s="259"/>
      <c r="Z117" s="259"/>
    </row>
    <row r="118" spans="5:42">
      <c r="E118" s="259"/>
      <c r="F118" s="259"/>
      <c r="G118" s="259"/>
      <c r="H118" s="259"/>
      <c r="I118" s="259"/>
      <c r="J118" s="259"/>
      <c r="K118" s="259"/>
      <c r="L118" s="259"/>
      <c r="M118" s="259"/>
      <c r="N118" s="259"/>
      <c r="O118" s="3">
        <f>Fmcc</f>
        <v>21.495103893002149</v>
      </c>
      <c r="P118" s="3" t="s">
        <v>11</v>
      </c>
      <c r="Q118" s="259"/>
      <c r="R118" s="259"/>
      <c r="S118" s="259"/>
      <c r="T118" s="259"/>
      <c r="U118" s="259"/>
      <c r="V118" s="259"/>
      <c r="W118" s="259"/>
      <c r="X118" s="259"/>
      <c r="Y118" s="259"/>
      <c r="Z118" s="259"/>
    </row>
    <row r="119" spans="5:42">
      <c r="E119" s="259"/>
      <c r="F119" s="259"/>
      <c r="G119" s="259"/>
      <c r="H119" s="259"/>
      <c r="I119" s="259"/>
      <c r="J119" s="259"/>
      <c r="K119" s="259"/>
      <c r="L119" s="259"/>
      <c r="M119" s="259"/>
      <c r="N119" s="259"/>
      <c r="O119" s="259"/>
      <c r="P119" s="259"/>
      <c r="Q119" s="259"/>
      <c r="R119" s="259" t="s">
        <v>291</v>
      </c>
      <c r="S119" s="259"/>
      <c r="T119" s="259"/>
      <c r="U119" s="282">
        <f>Spond</f>
        <v>0.74333771963327744</v>
      </c>
      <c r="V119" s="259" t="s">
        <v>292</v>
      </c>
      <c r="W119" s="259"/>
      <c r="X119" s="259"/>
      <c r="Y119" s="259"/>
      <c r="Z119" s="259"/>
    </row>
    <row r="120" spans="5:42">
      <c r="E120" s="259"/>
      <c r="F120" s="259"/>
      <c r="G120" s="259"/>
      <c r="H120" s="259"/>
      <c r="I120" s="259"/>
      <c r="J120" s="259"/>
      <c r="K120" s="259"/>
      <c r="L120" s="259"/>
      <c r="M120" s="259"/>
      <c r="N120" s="259"/>
      <c r="O120" s="259"/>
      <c r="P120" s="259"/>
      <c r="Q120" s="259"/>
      <c r="R120" s="259"/>
      <c r="S120" s="259"/>
      <c r="T120" s="259"/>
      <c r="U120" s="259"/>
      <c r="V120" s="259"/>
      <c r="W120" s="259"/>
      <c r="X120" s="259"/>
      <c r="Y120" s="259"/>
      <c r="Z120" s="259"/>
    </row>
    <row r="121" spans="5:42">
      <c r="E121" s="259"/>
      <c r="F121" s="259"/>
      <c r="G121" s="259"/>
      <c r="H121" s="259"/>
      <c r="I121" s="259"/>
      <c r="J121" s="259"/>
      <c r="K121" s="259"/>
      <c r="L121" s="259"/>
      <c r="M121" s="259"/>
      <c r="N121" s="259"/>
      <c r="O121" s="259"/>
      <c r="P121" s="259"/>
      <c r="Q121" s="259"/>
      <c r="R121" s="259"/>
      <c r="S121" s="259"/>
      <c r="T121" s="259"/>
      <c r="U121" s="259"/>
      <c r="V121" s="259"/>
      <c r="W121" s="259"/>
      <c r="X121" s="259"/>
      <c r="Y121" s="259"/>
      <c r="Z121" s="259"/>
    </row>
    <row r="122" spans="5:42">
      <c r="E122" s="259"/>
      <c r="F122" s="259"/>
      <c r="G122" s="259"/>
      <c r="H122" s="259"/>
      <c r="I122" s="259"/>
      <c r="J122" s="259"/>
      <c r="K122" s="259"/>
      <c r="L122" s="259"/>
      <c r="M122" s="259"/>
      <c r="N122" s="259"/>
      <c r="O122" s="259"/>
      <c r="P122" s="259"/>
      <c r="Q122" s="259"/>
      <c r="R122" s="259"/>
      <c r="S122" s="259"/>
      <c r="T122" s="259"/>
      <c r="U122" s="259"/>
      <c r="V122" s="259"/>
      <c r="W122" s="259"/>
      <c r="X122" s="259"/>
      <c r="Y122" s="259"/>
      <c r="Z122" s="259"/>
    </row>
    <row r="125" spans="5:42">
      <c r="E125" s="259"/>
      <c r="F125" s="259"/>
      <c r="G125" s="259"/>
      <c r="H125" s="259"/>
      <c r="I125" s="259"/>
      <c r="J125" s="259"/>
      <c r="K125" s="259"/>
      <c r="L125" s="259"/>
      <c r="M125" s="259"/>
      <c r="N125" s="259"/>
      <c r="O125" s="259"/>
      <c r="P125" s="259"/>
      <c r="Q125" s="259"/>
      <c r="R125" s="259"/>
      <c r="S125" s="259"/>
      <c r="T125" s="259"/>
      <c r="U125" s="259"/>
      <c r="V125" s="259"/>
      <c r="W125" s="259"/>
    </row>
    <row r="126" spans="5:42">
      <c r="E126" s="259"/>
      <c r="F126" s="259"/>
      <c r="G126" s="259"/>
      <c r="H126" s="259"/>
      <c r="I126" s="259"/>
      <c r="J126" s="259"/>
      <c r="K126" s="259"/>
      <c r="L126" s="259"/>
      <c r="M126" s="259"/>
      <c r="N126" s="259"/>
      <c r="O126" s="259"/>
      <c r="P126" s="259"/>
      <c r="Q126" s="259"/>
      <c r="R126" s="259"/>
      <c r="S126" s="259"/>
      <c r="T126" s="259"/>
      <c r="U126" s="259"/>
      <c r="V126" s="259"/>
      <c r="W126" s="259"/>
    </row>
    <row r="127" spans="5:42">
      <c r="E127" s="259"/>
      <c r="F127" s="259"/>
      <c r="G127" s="259"/>
      <c r="H127" s="259"/>
      <c r="I127" s="259"/>
      <c r="J127" s="259"/>
      <c r="K127" s="259"/>
      <c r="L127" s="259"/>
      <c r="M127" s="259"/>
      <c r="N127" s="259"/>
      <c r="O127" s="259"/>
      <c r="P127" s="259"/>
      <c r="Q127" s="259"/>
      <c r="R127" s="259"/>
      <c r="S127" s="259"/>
      <c r="T127" s="259"/>
      <c r="U127" s="259"/>
      <c r="V127" s="259"/>
      <c r="W127" s="259"/>
    </row>
    <row r="128" spans="5:42">
      <c r="E128" s="259"/>
      <c r="F128" s="259"/>
      <c r="G128" s="259"/>
      <c r="H128" s="259"/>
      <c r="I128" s="259"/>
      <c r="J128" s="259"/>
      <c r="K128" s="259"/>
      <c r="L128" s="259"/>
      <c r="M128" s="259"/>
      <c r="N128" s="259"/>
      <c r="O128" s="259"/>
      <c r="P128" s="259"/>
      <c r="Q128" s="259"/>
      <c r="R128" s="259"/>
      <c r="S128" s="259"/>
      <c r="T128" s="259"/>
      <c r="U128" s="259"/>
      <c r="V128" s="259"/>
      <c r="W128" s="259"/>
    </row>
    <row r="129" spans="5:84">
      <c r="E129" s="259"/>
      <c r="F129" s="259"/>
      <c r="G129" s="259"/>
      <c r="H129" s="259"/>
      <c r="I129" s="259"/>
      <c r="J129" s="259"/>
      <c r="K129" s="259"/>
      <c r="L129" s="259"/>
      <c r="M129" s="259"/>
      <c r="N129" s="259"/>
      <c r="O129" s="259"/>
      <c r="P129" s="259"/>
      <c r="Q129" s="259">
        <f>Tsw</f>
        <v>20</v>
      </c>
      <c r="R129" s="259" t="s">
        <v>12</v>
      </c>
      <c r="S129" s="259"/>
      <c r="T129" s="259"/>
      <c r="U129" s="259"/>
      <c r="V129" s="259"/>
      <c r="W129" s="259"/>
    </row>
    <row r="130" spans="5:84">
      <c r="E130" s="259"/>
      <c r="F130" s="259"/>
      <c r="G130" s="259"/>
      <c r="H130" s="445">
        <f>Qmcr</f>
        <v>900</v>
      </c>
      <c r="I130" s="445"/>
      <c r="J130" s="259"/>
      <c r="K130" s="259"/>
      <c r="L130" s="259"/>
      <c r="M130" s="259"/>
      <c r="N130" s="259"/>
      <c r="O130" s="259"/>
      <c r="P130" s="259"/>
      <c r="Q130" s="259"/>
      <c r="R130" s="259"/>
      <c r="S130" s="259"/>
      <c r="T130" s="259"/>
      <c r="U130" s="259"/>
      <c r="V130" s="259"/>
      <c r="W130" s="259"/>
    </row>
    <row r="131" spans="5:84">
      <c r="E131" s="259"/>
      <c r="F131" s="259"/>
      <c r="G131" s="259"/>
      <c r="H131" s="259" t="s">
        <v>6</v>
      </c>
      <c r="I131" s="259"/>
      <c r="J131" s="259"/>
      <c r="K131" s="259"/>
      <c r="L131" s="259"/>
      <c r="M131" s="259"/>
      <c r="N131" s="3">
        <f>Fmcc</f>
        <v>21.495103893002149</v>
      </c>
      <c r="O131" s="3" t="s">
        <v>11</v>
      </c>
      <c r="Q131" s="259">
        <f>Tsw+Dtcr</f>
        <v>30</v>
      </c>
      <c r="R131" s="259" t="s">
        <v>12</v>
      </c>
      <c r="S131" s="259"/>
      <c r="T131" s="259"/>
      <c r="U131" s="259"/>
      <c r="V131" s="259"/>
      <c r="W131" s="259"/>
    </row>
    <row r="132" spans="5:84">
      <c r="E132" s="259"/>
      <c r="F132" s="259"/>
      <c r="G132" s="259"/>
      <c r="H132" s="259"/>
      <c r="I132" s="259"/>
      <c r="J132" s="259"/>
      <c r="K132" s="259"/>
      <c r="L132" s="259"/>
      <c r="M132" s="259"/>
      <c r="N132" s="259"/>
      <c r="O132" s="259"/>
      <c r="P132" s="259"/>
      <c r="Q132" s="259"/>
      <c r="R132" s="259"/>
      <c r="S132" s="261" t="str">
        <f>IF(location=0,"River Temperature after mixing","")</f>
        <v>River Temperature after mixing</v>
      </c>
      <c r="T132" s="259"/>
      <c r="U132" s="259"/>
      <c r="V132" s="259"/>
    </row>
    <row r="133" spans="5:84">
      <c r="E133" s="259"/>
      <c r="F133" s="259"/>
      <c r="G133" s="259"/>
      <c r="H133" s="259"/>
      <c r="I133" s="259">
        <f>Tc</f>
        <v>47.17</v>
      </c>
      <c r="J133" s="259" t="s">
        <v>12</v>
      </c>
      <c r="K133" s="259"/>
      <c r="L133" s="259"/>
      <c r="M133" s="259"/>
      <c r="N133" s="259"/>
      <c r="Q133" s="259"/>
      <c r="R133" s="259"/>
      <c r="S133" s="259">
        <f>IF(location=0,Tmix,"")</f>
        <v>24.299020778600429</v>
      </c>
      <c r="T133" s="259" t="str">
        <f>IF(location=0,"°C","")</f>
        <v>°C</v>
      </c>
      <c r="U133" s="259"/>
      <c r="V133" s="259"/>
    </row>
    <row r="134" spans="5:84">
      <c r="E134" s="259"/>
      <c r="F134" s="259"/>
      <c r="G134" s="259"/>
      <c r="H134" s="259"/>
      <c r="I134" s="259"/>
      <c r="J134" s="259"/>
      <c r="K134" s="259"/>
      <c r="L134" s="259"/>
      <c r="M134" s="259"/>
      <c r="N134" s="259"/>
      <c r="O134" s="259"/>
      <c r="P134" s="259"/>
      <c r="Q134" s="259"/>
      <c r="R134" s="259"/>
      <c r="S134" s="259"/>
      <c r="T134" s="259"/>
      <c r="U134" s="259"/>
      <c r="V134" s="259"/>
      <c r="W134" s="259"/>
    </row>
    <row r="135" spans="5:84">
      <c r="E135" s="259"/>
      <c r="F135" s="259"/>
      <c r="G135" s="259"/>
      <c r="H135" s="259"/>
      <c r="I135" s="259"/>
      <c r="J135" s="259"/>
      <c r="K135" s="259"/>
      <c r="L135" s="259"/>
      <c r="M135" s="259"/>
      <c r="N135" s="259"/>
      <c r="O135" s="259"/>
      <c r="P135" s="259"/>
      <c r="Q135" s="259"/>
      <c r="R135" s="259"/>
      <c r="S135" s="259"/>
      <c r="T135" s="259"/>
      <c r="U135" s="259"/>
      <c r="V135" s="259"/>
      <c r="W135" s="259"/>
    </row>
    <row r="136" spans="5:84">
      <c r="E136" s="259"/>
      <c r="F136" s="259"/>
      <c r="G136" s="259"/>
      <c r="H136" s="259"/>
      <c r="I136" s="259"/>
      <c r="J136" s="259"/>
      <c r="K136" s="259"/>
      <c r="L136" s="259"/>
      <c r="M136" s="259"/>
      <c r="N136" s="259"/>
      <c r="O136" s="259"/>
      <c r="P136" s="259"/>
      <c r="Q136" s="259"/>
      <c r="R136" s="259"/>
      <c r="S136" s="259"/>
      <c r="T136" s="259"/>
      <c r="U136" s="259"/>
      <c r="V136" s="259"/>
      <c r="W136" s="259"/>
    </row>
    <row r="137" spans="5:84">
      <c r="E137" s="259"/>
      <c r="F137" s="259"/>
      <c r="G137" s="259"/>
      <c r="H137" s="259"/>
      <c r="I137" s="259"/>
      <c r="J137" s="259"/>
      <c r="K137" s="259"/>
      <c r="L137" s="259"/>
      <c r="M137" s="259"/>
      <c r="N137" s="259"/>
      <c r="O137" s="259"/>
      <c r="P137" s="259"/>
      <c r="Q137" s="259"/>
      <c r="R137" s="259"/>
      <c r="S137" s="259"/>
      <c r="T137" s="259"/>
      <c r="U137" s="259"/>
      <c r="V137" s="259"/>
      <c r="W137" s="259"/>
      <c r="AV137" s="268"/>
      <c r="AW137" s="268"/>
      <c r="AX137" s="268"/>
      <c r="AY137" s="268"/>
      <c r="AZ137" s="268"/>
      <c r="BA137" s="268"/>
      <c r="BB137" s="268"/>
      <c r="BC137" s="268"/>
      <c r="BD137" s="268"/>
      <c r="BE137" s="268"/>
      <c r="BF137" s="268"/>
      <c r="BG137" s="268"/>
      <c r="BH137" s="268"/>
      <c r="BI137" s="269"/>
      <c r="BJ137" s="269"/>
      <c r="BK137" s="269"/>
      <c r="BL137" s="269"/>
      <c r="BM137" s="269"/>
      <c r="BN137" s="269"/>
      <c r="BO137" s="269"/>
      <c r="BP137" s="269"/>
      <c r="BQ137" s="269"/>
      <c r="BR137" s="269"/>
      <c r="BS137" s="269"/>
      <c r="BT137" s="269"/>
      <c r="BU137" s="269"/>
      <c r="BV137" s="269"/>
      <c r="BW137" s="269"/>
      <c r="BX137" s="269"/>
      <c r="BY137" s="269"/>
      <c r="BZ137" s="269"/>
      <c r="CA137" s="268"/>
      <c r="CB137" s="268"/>
      <c r="CC137" s="269"/>
      <c r="CD137" s="269"/>
      <c r="CE137" s="269"/>
      <c r="CF137" s="270"/>
    </row>
    <row r="139" spans="5:84">
      <c r="AA139" s="294"/>
      <c r="AB139" s="294"/>
      <c r="AC139" s="294"/>
      <c r="AD139" s="294"/>
      <c r="AE139" s="268"/>
      <c r="AF139" s="267"/>
      <c r="AG139" s="267"/>
      <c r="AH139" s="267"/>
      <c r="AI139" s="267"/>
      <c r="AJ139" s="267"/>
      <c r="AK139" s="267"/>
      <c r="AL139" s="268"/>
      <c r="AM139" s="268"/>
      <c r="AN139" s="268"/>
      <c r="AO139" s="268"/>
      <c r="AP139" s="268"/>
      <c r="AQ139" s="268"/>
      <c r="AR139" s="268"/>
      <c r="AS139" s="42"/>
    </row>
    <row r="140" spans="5:84">
      <c r="AC140" s="264" t="s">
        <v>325</v>
      </c>
    </row>
    <row r="141" spans="5:84">
      <c r="AI141" s="1" t="s">
        <v>323</v>
      </c>
      <c r="AO141" s="1" t="s">
        <v>324</v>
      </c>
      <c r="AP141" s="289"/>
    </row>
    <row r="142" spans="5:84" ht="15.75">
      <c r="AI142" s="441">
        <f>Model!K60</f>
        <v>0.28791744092724941</v>
      </c>
      <c r="AJ142" s="442"/>
      <c r="AK142" s="1" t="s">
        <v>344</v>
      </c>
      <c r="AO142" s="292">
        <f>Model!K59</f>
        <v>0.29227007987518622</v>
      </c>
      <c r="AP142" s="290" t="s">
        <v>344</v>
      </c>
    </row>
    <row r="145" spans="7:60">
      <c r="L145" s="3">
        <f>Tc</f>
        <v>47.17</v>
      </c>
      <c r="M145" s="259" t="s">
        <v>12</v>
      </c>
    </row>
    <row r="146" spans="7:60">
      <c r="N146" s="261">
        <f>N149+Dtcr</f>
        <v>56</v>
      </c>
      <c r="O146" s="261" t="s">
        <v>12</v>
      </c>
    </row>
    <row r="147" spans="7:60">
      <c r="G147" s="443">
        <f>Qmcr</f>
        <v>900</v>
      </c>
      <c r="H147" s="443"/>
    </row>
    <row r="148" spans="7:60">
      <c r="G148" s="262"/>
      <c r="H148" s="262" t="s">
        <v>6</v>
      </c>
      <c r="N148" s="3">
        <f>Fmcc</f>
        <v>21.495103893002149</v>
      </c>
      <c r="O148" s="261" t="s">
        <v>305</v>
      </c>
    </row>
    <row r="149" spans="7:60">
      <c r="N149" s="261">
        <f>Tair+Dtta</f>
        <v>46</v>
      </c>
      <c r="O149" s="261" t="s">
        <v>12</v>
      </c>
      <c r="V149" s="444">
        <f>Model!K55</f>
        <v>89.463220675944328</v>
      </c>
      <c r="W149" s="444"/>
      <c r="X149" s="261" t="s">
        <v>304</v>
      </c>
    </row>
    <row r="150" spans="7:60">
      <c r="W150" s="261">
        <f>Tair</f>
        <v>40</v>
      </c>
      <c r="X150" s="259" t="s">
        <v>12</v>
      </c>
    </row>
    <row r="152" spans="7:60">
      <c r="AI152" s="43"/>
      <c r="AJ152" s="6"/>
      <c r="AK152" s="43"/>
      <c r="AL152" s="6"/>
      <c r="AM152" s="48"/>
      <c r="AN152" s="48"/>
      <c r="AQ152" s="289"/>
      <c r="AR152" s="290"/>
      <c r="AS152" s="48"/>
      <c r="AT152" s="48"/>
      <c r="AU152" s="48"/>
      <c r="AV152" s="48"/>
      <c r="AW152" s="48"/>
      <c r="AX152" s="48"/>
      <c r="AY152" s="43"/>
      <c r="AZ152" s="48"/>
      <c r="BA152" s="48"/>
      <c r="BB152" s="48"/>
      <c r="BG152" s="289"/>
      <c r="BH152" s="291"/>
    </row>
    <row r="153" spans="7:60">
      <c r="AI153" s="43"/>
      <c r="AJ153" s="6"/>
      <c r="AK153" s="43"/>
      <c r="AL153" s="43"/>
      <c r="AM153" s="43"/>
      <c r="AN153" s="43"/>
      <c r="AQ153" s="292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G153" s="290"/>
      <c r="BH153" s="290"/>
    </row>
  </sheetData>
  <mergeCells count="8">
    <mergeCell ref="AI142:AJ142"/>
    <mergeCell ref="G147:H147"/>
    <mergeCell ref="V149:W149"/>
    <mergeCell ref="H130:I130"/>
    <mergeCell ref="O48:P48"/>
    <mergeCell ref="O49:P49"/>
    <mergeCell ref="H87:I87"/>
    <mergeCell ref="H115:I115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5" tint="-0.249977111117893"/>
  </sheetPr>
  <dimension ref="A1:AD81"/>
  <sheetViews>
    <sheetView showGridLines="0" tabSelected="1" topLeftCell="C30" zoomScale="120" zoomScaleNormal="120" workbookViewId="0">
      <selection activeCell="K41" sqref="K41"/>
    </sheetView>
  </sheetViews>
  <sheetFormatPr defaultColWidth="9" defaultRowHeight="11.25"/>
  <cols>
    <col min="1" max="1" width="9" style="115"/>
    <col min="2" max="2" width="23.75" style="115" bestFit="1" customWidth="1"/>
    <col min="3" max="3" width="6.625" style="116" bestFit="1" customWidth="1"/>
    <col min="4" max="4" width="9.125" style="115" bestFit="1" customWidth="1"/>
    <col min="5" max="5" width="6.875" style="115" bestFit="1" customWidth="1"/>
    <col min="6" max="7" width="9" style="115"/>
    <col min="8" max="8" width="25.375" style="115" bestFit="1" customWidth="1"/>
    <col min="9" max="9" width="10" style="115" customWidth="1"/>
    <col min="10" max="10" width="6.625" style="116" bestFit="1" customWidth="1"/>
    <col min="11" max="11" width="6.125" style="115" customWidth="1"/>
    <col min="12" max="12" width="5.375" style="115" bestFit="1" customWidth="1"/>
    <col min="13" max="14" width="9.875" style="115" bestFit="1" customWidth="1"/>
    <col min="15" max="15" width="14.375" style="115" customWidth="1"/>
    <col min="16" max="16" width="11.375" style="115" bestFit="1" customWidth="1"/>
    <col min="17" max="17" width="3.875" style="115" customWidth="1"/>
    <col min="18" max="18" width="23.75" style="115" bestFit="1" customWidth="1"/>
    <col min="19" max="19" width="14.25" style="115" customWidth="1"/>
    <col min="20" max="20" width="14.125" style="115" customWidth="1"/>
    <col min="21" max="21" width="6" style="115" customWidth="1"/>
    <col min="22" max="22" width="13.25" style="115" customWidth="1"/>
    <col min="23" max="23" width="8.375" style="115" bestFit="1" customWidth="1"/>
    <col min="24" max="24" width="8.625" style="115" bestFit="1" customWidth="1"/>
    <col min="25" max="25" width="9.25" style="115" bestFit="1" customWidth="1"/>
    <col min="26" max="26" width="9.125" style="115" bestFit="1" customWidth="1"/>
    <col min="27" max="28" width="9" style="115"/>
    <col min="29" max="29" width="9.875" style="115" bestFit="1" customWidth="1"/>
    <col min="30" max="30" width="9" style="115"/>
    <col min="31" max="31" width="8.25" style="115" customWidth="1"/>
    <col min="32" max="16384" width="9" style="115"/>
  </cols>
  <sheetData>
    <row r="1" spans="1:30">
      <c r="B1" s="115" t="s">
        <v>231</v>
      </c>
      <c r="C1" s="116" t="s">
        <v>397</v>
      </c>
    </row>
    <row r="2" spans="1:30">
      <c r="B2" s="115" t="s">
        <v>283</v>
      </c>
      <c r="C2" s="116">
        <v>0</v>
      </c>
      <c r="D2" s="115" t="str">
        <f>IF(location=0,"River/In",IF(location=1,"Coast","Effluent"))</f>
        <v>River/In</v>
      </c>
    </row>
    <row r="3" spans="1:30">
      <c r="B3" s="129" t="s">
        <v>10</v>
      </c>
      <c r="C3" s="131"/>
      <c r="D3" s="130"/>
    </row>
    <row r="4" spans="1:30">
      <c r="B4" s="115" t="s">
        <v>14</v>
      </c>
      <c r="C4" s="116" t="s">
        <v>25</v>
      </c>
      <c r="D4" s="115">
        <v>100</v>
      </c>
      <c r="H4" s="375" t="s">
        <v>64</v>
      </c>
      <c r="J4" s="116" t="s">
        <v>49</v>
      </c>
      <c r="K4" s="119">
        <f>Wetbulb(Tair,RH*Psat(Tair))</f>
        <v>25.169999999999998</v>
      </c>
      <c r="L4" s="118" t="s">
        <v>12</v>
      </c>
      <c r="M4" s="119">
        <f>GetTWetBulbFromRelHum(Tair,RH,101325)</f>
        <v>25.093373706685817</v>
      </c>
    </row>
    <row r="5" spans="1:30">
      <c r="B5" s="115" t="s">
        <v>128</v>
      </c>
      <c r="C5" s="116" t="s">
        <v>129</v>
      </c>
      <c r="D5" s="115">
        <v>350</v>
      </c>
      <c r="E5" s="115" t="s">
        <v>12</v>
      </c>
      <c r="H5" s="375" t="s">
        <v>44</v>
      </c>
      <c r="J5" s="116" t="s">
        <v>8</v>
      </c>
      <c r="K5" s="119">
        <f>IF(Type=1,Tsw,IF(Type=2,Twb+Dtta,Tair+Dtta))+Dtcr+Dtca</f>
        <v>47.17</v>
      </c>
      <c r="L5" s="118" t="s">
        <v>12</v>
      </c>
      <c r="O5" s="363"/>
    </row>
    <row r="6" spans="1:30">
      <c r="B6" s="115" t="s">
        <v>155</v>
      </c>
      <c r="C6" s="116" t="s">
        <v>276</v>
      </c>
      <c r="D6" s="121">
        <v>0.1</v>
      </c>
      <c r="I6" s="115" t="s">
        <v>0</v>
      </c>
      <c r="J6" s="116" t="s">
        <v>26</v>
      </c>
      <c r="K6" s="120">
        <f>effDetop(Tc,Tms)</f>
        <v>0.3840884</v>
      </c>
      <c r="M6" s="121">
        <f>effDetop(Tsw+Dtcr+Dtca,Tms)</f>
        <v>0.40061999999999998</v>
      </c>
      <c r="O6" s="363"/>
      <c r="S6" s="115" t="s">
        <v>395</v>
      </c>
      <c r="T6" s="367" t="s">
        <v>141</v>
      </c>
      <c r="U6" s="146" t="s">
        <v>142</v>
      </c>
      <c r="V6" s="367" t="s">
        <v>140</v>
      </c>
      <c r="W6" s="147" t="s">
        <v>148</v>
      </c>
      <c r="X6" s="147" t="s">
        <v>149</v>
      </c>
      <c r="Y6" s="147" t="s">
        <v>146</v>
      </c>
      <c r="Z6" s="367" t="s">
        <v>132</v>
      </c>
      <c r="AA6" s="146" t="s">
        <v>133</v>
      </c>
      <c r="AB6" s="367" t="s">
        <v>134</v>
      </c>
      <c r="AC6" s="373" t="s">
        <v>289</v>
      </c>
      <c r="AD6" s="373" t="s">
        <v>48</v>
      </c>
    </row>
    <row r="7" spans="1:30">
      <c r="B7" s="115" t="s">
        <v>48</v>
      </c>
      <c r="D7" s="115">
        <v>1</v>
      </c>
      <c r="E7" s="115" t="str">
        <f>IF(D7=3,"Light","Heavy")</f>
        <v>Heavy</v>
      </c>
      <c r="H7" s="129" t="s">
        <v>63</v>
      </c>
      <c r="I7" s="130"/>
      <c r="J7" s="131"/>
      <c r="K7" s="130"/>
      <c r="L7" s="130"/>
      <c r="Q7" s="115">
        <v>1</v>
      </c>
      <c r="R7" s="144" t="s">
        <v>74</v>
      </c>
      <c r="S7" s="144" t="b">
        <v>0</v>
      </c>
      <c r="T7" s="368">
        <f>K34</f>
        <v>0.22434268558082446</v>
      </c>
      <c r="U7" s="119">
        <v>0</v>
      </c>
      <c r="V7" s="368">
        <f>Fmcc-T7</f>
        <v>21.270761207421323</v>
      </c>
      <c r="W7" s="319">
        <v>0</v>
      </c>
      <c r="X7" s="370">
        <v>0</v>
      </c>
      <c r="Y7" s="145">
        <v>0</v>
      </c>
      <c r="Z7" s="369">
        <v>5</v>
      </c>
      <c r="AA7" s="115">
        <v>0</v>
      </c>
      <c r="AB7" s="369">
        <f>IF(Dtcr&gt;15,4,3)</f>
        <v>3</v>
      </c>
      <c r="AC7" s="115">
        <v>0</v>
      </c>
      <c r="AD7" s="145">
        <v>1</v>
      </c>
    </row>
    <row r="8" spans="1:30">
      <c r="B8" s="129" t="s">
        <v>130</v>
      </c>
      <c r="C8" s="132"/>
      <c r="D8" s="129"/>
      <c r="H8" s="115" t="s">
        <v>277</v>
      </c>
      <c r="J8" s="116" t="s">
        <v>280</v>
      </c>
      <c r="K8" s="117">
        <f>Pen</f>
        <v>100</v>
      </c>
      <c r="L8" s="115" t="s">
        <v>220</v>
      </c>
      <c r="M8" s="123">
        <f>Pen/Ebpnr*he</f>
        <v>384.08839999999998</v>
      </c>
      <c r="Q8" s="115">
        <v>2</v>
      </c>
      <c r="R8" s="144" t="s">
        <v>302</v>
      </c>
      <c r="S8" s="144" t="b">
        <v>0</v>
      </c>
      <c r="T8" s="368">
        <f>K34</f>
        <v>0.22434268558082446</v>
      </c>
      <c r="U8" s="119">
        <v>0</v>
      </c>
      <c r="V8" s="368">
        <f>V7</f>
        <v>21.270761207421323</v>
      </c>
      <c r="W8" s="229">
        <f>W9*SpondOT/Spond</f>
        <v>44.98019655659003</v>
      </c>
      <c r="X8" s="370">
        <v>0</v>
      </c>
      <c r="Y8" s="145">
        <v>2</v>
      </c>
      <c r="Z8" s="369">
        <v>5</v>
      </c>
      <c r="AA8" s="115">
        <v>0</v>
      </c>
      <c r="AB8" s="369">
        <v>0</v>
      </c>
      <c r="AC8" s="115">
        <v>0</v>
      </c>
      <c r="AD8" s="145">
        <v>1</v>
      </c>
    </row>
    <row r="9" spans="1:30">
      <c r="B9" s="115" t="s">
        <v>78</v>
      </c>
      <c r="C9" s="116" t="s">
        <v>27</v>
      </c>
      <c r="D9" s="115">
        <v>20</v>
      </c>
      <c r="E9" s="115" t="s">
        <v>12</v>
      </c>
      <c r="H9" s="375" t="s">
        <v>36</v>
      </c>
      <c r="J9" s="116" t="s">
        <v>37</v>
      </c>
      <c r="K9" s="117">
        <f>Pen/Ebpnr-K8</f>
        <v>900</v>
      </c>
      <c r="L9" s="115" t="s">
        <v>6</v>
      </c>
      <c r="Q9" s="115">
        <v>3</v>
      </c>
      <c r="R9" s="144" t="s">
        <v>299</v>
      </c>
      <c r="S9" s="144" t="b">
        <v>0</v>
      </c>
      <c r="T9" s="368">
        <f>K44</f>
        <v>0.34635543206696018</v>
      </c>
      <c r="U9" s="119">
        <v>0</v>
      </c>
      <c r="V9" s="368">
        <f>K45</f>
        <v>6.9271086413392038E-2</v>
      </c>
      <c r="W9" s="229">
        <f>W10*1.8</f>
        <v>33.435476737032232</v>
      </c>
      <c r="X9" s="370">
        <v>0</v>
      </c>
      <c r="Y9" s="145">
        <v>2</v>
      </c>
      <c r="Z9" s="369">
        <v>0</v>
      </c>
      <c r="AA9" s="115">
        <v>0</v>
      </c>
      <c r="AB9" s="369">
        <v>0</v>
      </c>
      <c r="AC9" s="115">
        <v>0</v>
      </c>
      <c r="AD9" s="145">
        <v>1</v>
      </c>
    </row>
    <row r="10" spans="1:30">
      <c r="B10" s="115" t="s">
        <v>23</v>
      </c>
      <c r="C10" s="116" t="s">
        <v>28</v>
      </c>
      <c r="D10" s="115">
        <v>40</v>
      </c>
      <c r="E10" s="115" t="s">
        <v>12</v>
      </c>
      <c r="H10" s="115" t="s">
        <v>82</v>
      </c>
      <c r="K10" s="119">
        <f>Qcr/LatentHeat(Tc)</f>
        <v>0.37676199261919541</v>
      </c>
      <c r="L10" s="115" t="s">
        <v>7</v>
      </c>
      <c r="Q10" s="115">
        <v>4</v>
      </c>
      <c r="R10" s="144" t="s">
        <v>300</v>
      </c>
      <c r="S10" s="144" t="b">
        <v>1</v>
      </c>
      <c r="T10" s="368">
        <f>Fe</f>
        <v>0.40270899453701808</v>
      </c>
      <c r="U10" s="119">
        <f>Fd</f>
        <v>4.2990207786004304E-3</v>
      </c>
      <c r="V10" s="368">
        <f>Fb</f>
        <v>7.6242778128803187E-2</v>
      </c>
      <c r="W10" s="222">
        <f>90.742*(Fmcc*15852)^0.96/1000000</f>
        <v>18.575264853906795</v>
      </c>
      <c r="X10" s="371">
        <f>0.015*M13*lpc*1000*0.000001</f>
        <v>0.47303999999999991</v>
      </c>
      <c r="Y10" s="145">
        <v>2</v>
      </c>
      <c r="Z10" s="369">
        <v>1</v>
      </c>
      <c r="AA10" s="115">
        <v>4</v>
      </c>
      <c r="AB10" s="369">
        <f>IF(Dtcr&gt;15,4,3)</f>
        <v>3</v>
      </c>
      <c r="AC10" s="115">
        <v>0</v>
      </c>
      <c r="AD10" s="145">
        <v>2</v>
      </c>
    </row>
    <row r="11" spans="1:30">
      <c r="A11" s="115">
        <v>30</v>
      </c>
      <c r="B11" s="115" t="s">
        <v>24</v>
      </c>
      <c r="C11" s="116" t="s">
        <v>29</v>
      </c>
      <c r="D11" s="121">
        <f>A11/100</f>
        <v>0.3</v>
      </c>
      <c r="H11" s="115" t="s">
        <v>35</v>
      </c>
      <c r="J11" s="116" t="s">
        <v>38</v>
      </c>
      <c r="K11" s="117">
        <f>Qcr/Dtcr/4.187</f>
        <v>21.495103893002149</v>
      </c>
      <c r="L11" s="115" t="s">
        <v>7</v>
      </c>
      <c r="M11" s="117">
        <f>K11/K13</f>
        <v>773.82374014807738</v>
      </c>
      <c r="N11" s="115" t="s">
        <v>77</v>
      </c>
      <c r="Q11" s="115">
        <v>5</v>
      </c>
      <c r="R11" s="144" t="s">
        <v>301</v>
      </c>
      <c r="S11" s="144" t="b">
        <v>1</v>
      </c>
      <c r="T11" s="368">
        <f>T10</f>
        <v>0.40270899453701808</v>
      </c>
      <c r="U11" s="119">
        <f>U10</f>
        <v>4.2990207786004304E-3</v>
      </c>
      <c r="V11" s="368">
        <f>V10</f>
        <v>7.6242778128803187E-2</v>
      </c>
      <c r="W11" s="223">
        <f>1.75*W10</f>
        <v>32.506713494336893</v>
      </c>
      <c r="X11" s="372">
        <f>0.35*X10</f>
        <v>0.16556399999999996</v>
      </c>
      <c r="Y11" s="145">
        <v>5</v>
      </c>
      <c r="Z11" s="369">
        <v>1</v>
      </c>
      <c r="AA11" s="115">
        <v>4</v>
      </c>
      <c r="AB11" s="369">
        <f>IF(Dtcr&gt;15,4,3)</f>
        <v>3</v>
      </c>
      <c r="AC11" s="115">
        <v>0</v>
      </c>
      <c r="AD11" s="145">
        <v>2</v>
      </c>
    </row>
    <row r="12" spans="1:30">
      <c r="B12" s="133" t="s">
        <v>94</v>
      </c>
      <c r="C12" s="134" t="s">
        <v>96</v>
      </c>
      <c r="D12" s="133">
        <v>2</v>
      </c>
      <c r="E12" s="232" t="s">
        <v>95</v>
      </c>
      <c r="H12" s="115" t="s">
        <v>39</v>
      </c>
      <c r="J12" s="116" t="s">
        <v>40</v>
      </c>
      <c r="K12" s="122">
        <f>Fcc*1.7/0.85/0.96/9866*1000</f>
        <v>4.5389688266525932</v>
      </c>
      <c r="L12" s="115" t="s">
        <v>6</v>
      </c>
      <c r="Q12" s="115">
        <v>6</v>
      </c>
      <c r="R12" s="144" t="s">
        <v>225</v>
      </c>
      <c r="S12" s="144" t="b">
        <v>0</v>
      </c>
      <c r="T12" s="368">
        <v>0</v>
      </c>
      <c r="U12" s="119">
        <v>0</v>
      </c>
      <c r="V12" s="368">
        <v>0</v>
      </c>
      <c r="W12" s="223">
        <f>3.85*W10</f>
        <v>71.514769687541161</v>
      </c>
      <c r="X12" s="372">
        <f>2*X10</f>
        <v>0.94607999999999981</v>
      </c>
      <c r="Y12" s="145">
        <v>1</v>
      </c>
      <c r="Z12" s="369">
        <v>0</v>
      </c>
      <c r="AA12" s="115">
        <v>0</v>
      </c>
      <c r="AB12" s="369">
        <v>0</v>
      </c>
      <c r="AC12" s="115">
        <v>3</v>
      </c>
      <c r="AD12" s="145">
        <v>3</v>
      </c>
    </row>
    <row r="13" spans="1:30">
      <c r="B13" s="115" t="s">
        <v>110</v>
      </c>
      <c r="C13" s="116" t="s">
        <v>111</v>
      </c>
      <c r="D13" s="115">
        <v>50</v>
      </c>
      <c r="E13" s="115" t="s">
        <v>11</v>
      </c>
      <c r="H13" s="115" t="s">
        <v>75</v>
      </c>
      <c r="K13" s="119">
        <f>K8/3600</f>
        <v>2.7777777777777776E-2</v>
      </c>
      <c r="L13" s="115" t="s">
        <v>76</v>
      </c>
      <c r="M13" s="252">
        <f>K8*8760*App/1000</f>
        <v>700.8</v>
      </c>
      <c r="N13" s="115" t="s">
        <v>281</v>
      </c>
      <c r="Q13" s="115">
        <v>7</v>
      </c>
      <c r="R13" s="144" t="s">
        <v>223</v>
      </c>
      <c r="S13" s="144" t="b">
        <v>1</v>
      </c>
      <c r="T13" s="368">
        <f>Fe</f>
        <v>0.40270899453701808</v>
      </c>
      <c r="U13" s="119">
        <v>0</v>
      </c>
      <c r="V13" s="368">
        <f>V10</f>
        <v>7.6242778128803187E-2</v>
      </c>
      <c r="W13" s="223">
        <f>2.75*W10</f>
        <v>51.081978348243688</v>
      </c>
      <c r="X13" s="372">
        <f>1.375*X10</f>
        <v>0.65042999999999984</v>
      </c>
      <c r="Y13" s="145">
        <v>2</v>
      </c>
      <c r="Z13" s="369">
        <v>1</v>
      </c>
      <c r="AA13" s="115">
        <v>0</v>
      </c>
      <c r="AB13" s="369">
        <v>1</v>
      </c>
      <c r="AC13" s="115">
        <v>1</v>
      </c>
      <c r="AD13" s="145">
        <v>2</v>
      </c>
    </row>
    <row r="14" spans="1:30">
      <c r="B14" s="115" t="s">
        <v>117</v>
      </c>
      <c r="C14" s="116" t="s">
        <v>118</v>
      </c>
      <c r="D14" s="115">
        <v>1</v>
      </c>
      <c r="E14" s="115" t="s">
        <v>102</v>
      </c>
      <c r="Q14" s="115">
        <v>8</v>
      </c>
      <c r="R14" s="144" t="s">
        <v>224</v>
      </c>
      <c r="S14" s="144"/>
      <c r="T14" s="369"/>
      <c r="V14" s="369"/>
      <c r="W14" s="223">
        <f>3.75*W10</f>
        <v>69.657243202150482</v>
      </c>
      <c r="X14" s="372">
        <f>1.75*X10</f>
        <v>0.82781999999999978</v>
      </c>
      <c r="Y14" s="145">
        <v>2</v>
      </c>
      <c r="Z14" s="369">
        <v>0</v>
      </c>
      <c r="AA14" s="115">
        <v>0</v>
      </c>
      <c r="AB14" s="369">
        <v>1</v>
      </c>
      <c r="AC14" s="115">
        <v>2</v>
      </c>
      <c r="AD14" s="145">
        <v>2</v>
      </c>
    </row>
    <row r="15" spans="1:30">
      <c r="C15" s="115"/>
      <c r="H15" s="129" t="s">
        <v>61</v>
      </c>
      <c r="I15" s="130"/>
      <c r="J15" s="131"/>
      <c r="K15" s="130"/>
      <c r="L15" s="130"/>
      <c r="R15" s="221"/>
      <c r="S15" s="221"/>
    </row>
    <row r="16" spans="1:30">
      <c r="C16" s="115"/>
      <c r="H16" s="375" t="s">
        <v>56</v>
      </c>
      <c r="J16" s="115" t="s">
        <v>57</v>
      </c>
      <c r="K16" s="117">
        <f>LatentHeat(Tcm)</f>
        <v>2282.4664785020996</v>
      </c>
      <c r="L16" s="115" t="s">
        <v>9</v>
      </c>
      <c r="O16" s="365"/>
      <c r="P16" s="365"/>
      <c r="Q16" s="365"/>
    </row>
    <row r="17" spans="2:19">
      <c r="B17" s="115" t="s">
        <v>15</v>
      </c>
      <c r="C17" s="116" t="s">
        <v>48</v>
      </c>
      <c r="D17" s="115">
        <f>INDEX(AD7:AD14,FlagSelection)</f>
        <v>2</v>
      </c>
      <c r="H17" s="375" t="s">
        <v>54</v>
      </c>
      <c r="J17" s="115" t="s">
        <v>55</v>
      </c>
      <c r="K17" s="117">
        <f>Wd*1000/GOR/24/3600*Dhdes</f>
        <v>0</v>
      </c>
      <c r="L17" s="115" t="s">
        <v>59</v>
      </c>
      <c r="O17" s="365"/>
      <c r="P17" s="365"/>
      <c r="Q17" s="365"/>
    </row>
    <row r="18" spans="2:19">
      <c r="B18" s="115" t="s">
        <v>4</v>
      </c>
      <c r="C18" s="116" t="s">
        <v>5</v>
      </c>
      <c r="D18" s="115">
        <v>6</v>
      </c>
      <c r="H18" s="115" t="s">
        <v>83</v>
      </c>
      <c r="K18" s="123">
        <f>CF*Wd/24/3600*1000</f>
        <v>0</v>
      </c>
      <c r="L18" s="115" t="s">
        <v>7</v>
      </c>
      <c r="O18" s="362"/>
      <c r="P18" s="365"/>
      <c r="Q18" s="365"/>
    </row>
    <row r="19" spans="2:19">
      <c r="O19" s="119"/>
      <c r="P19" s="362"/>
      <c r="Q19" s="365"/>
    </row>
    <row r="20" spans="2:19">
      <c r="B20" s="115" t="s">
        <v>33</v>
      </c>
      <c r="C20" s="116" t="s">
        <v>45</v>
      </c>
      <c r="D20" s="115">
        <v>6</v>
      </c>
      <c r="E20" s="115" t="s">
        <v>12</v>
      </c>
      <c r="O20" s="361"/>
      <c r="P20" s="361"/>
      <c r="R20" s="293" t="s">
        <v>197</v>
      </c>
      <c r="S20" s="293"/>
    </row>
    <row r="21" spans="2:19">
      <c r="B21" s="115" t="s">
        <v>32</v>
      </c>
      <c r="C21" s="116" t="s">
        <v>46</v>
      </c>
      <c r="D21" s="115">
        <v>10</v>
      </c>
      <c r="E21" s="115" t="s">
        <v>12</v>
      </c>
      <c r="H21" s="129" t="s">
        <v>62</v>
      </c>
      <c r="I21" s="130"/>
      <c r="J21" s="131"/>
      <c r="K21" s="130"/>
      <c r="L21" s="130"/>
      <c r="O21" s="361"/>
      <c r="P21" s="361"/>
      <c r="R21" s="293" t="s">
        <v>198</v>
      </c>
      <c r="S21" s="293"/>
    </row>
    <row r="22" spans="2:19">
      <c r="B22" s="115" t="s">
        <v>34</v>
      </c>
      <c r="C22" s="116" t="s">
        <v>47</v>
      </c>
      <c r="D22" s="115">
        <v>6</v>
      </c>
      <c r="E22" s="115" t="s">
        <v>12</v>
      </c>
      <c r="H22" s="115" t="s">
        <v>53</v>
      </c>
      <c r="J22" s="115" t="s">
        <v>52</v>
      </c>
      <c r="K22" s="115">
        <f>Tmb+10</f>
        <v>90</v>
      </c>
      <c r="L22" s="118" t="s">
        <v>12</v>
      </c>
      <c r="R22" s="293" t="s">
        <v>347</v>
      </c>
      <c r="S22" s="293"/>
    </row>
    <row r="23" spans="2:19">
      <c r="H23" s="375" t="s">
        <v>71</v>
      </c>
      <c r="J23" s="115" t="s">
        <v>51</v>
      </c>
      <c r="K23" s="374">
        <f>(Tcm-Tc)/(Tcm+273)*0.85*0.988*0.97</f>
        <v>9.6114531625344349E-2</v>
      </c>
      <c r="L23" s="118"/>
    </row>
    <row r="24" spans="2:19">
      <c r="H24" s="115" t="s">
        <v>50</v>
      </c>
      <c r="J24" s="116" t="s">
        <v>60</v>
      </c>
      <c r="K24" s="117">
        <f>hcar*Qd</f>
        <v>0</v>
      </c>
      <c r="L24" s="118" t="s">
        <v>58</v>
      </c>
      <c r="M24" s="123">
        <f>IFERROR(K24/(Wd/24),0)</f>
        <v>0</v>
      </c>
      <c r="N24" s="115" t="s">
        <v>90</v>
      </c>
      <c r="O24" s="124"/>
    </row>
    <row r="25" spans="2:19">
      <c r="B25" s="129" t="s">
        <v>20</v>
      </c>
      <c r="C25" s="131"/>
      <c r="D25" s="130"/>
      <c r="H25" s="375" t="s">
        <v>65</v>
      </c>
      <c r="J25" s="116" t="s">
        <v>68</v>
      </c>
      <c r="K25" s="117">
        <f>Qcr-Qd*(1-hcar)</f>
        <v>900</v>
      </c>
      <c r="L25" s="118" t="s">
        <v>59</v>
      </c>
    </row>
    <row r="26" spans="2:19" ht="15">
      <c r="B26" s="115" t="s">
        <v>19</v>
      </c>
      <c r="C26" s="116" t="s">
        <v>30</v>
      </c>
      <c r="D26" s="115">
        <v>0</v>
      </c>
      <c r="E26" s="115" t="s">
        <v>89</v>
      </c>
      <c r="H26" s="375" t="s">
        <v>66</v>
      </c>
      <c r="J26" s="116" t="s">
        <v>69</v>
      </c>
      <c r="K26" s="119">
        <f>Qmcr/Dtcr/4.187</f>
        <v>21.495103893002149</v>
      </c>
      <c r="L26" s="118" t="s">
        <v>7</v>
      </c>
      <c r="M26" s="365"/>
      <c r="R26" s="263" t="str">
        <f>IF(NH3_&gt;5,"Trickling filters","No ammonia treatment")</f>
        <v>No ammonia treatment</v>
      </c>
      <c r="S26" s="263"/>
    </row>
    <row r="27" spans="2:19" ht="15">
      <c r="B27" s="115" t="s">
        <v>18</v>
      </c>
      <c r="C27" s="116" t="s">
        <v>18</v>
      </c>
      <c r="D27" s="115">
        <v>10</v>
      </c>
      <c r="H27" s="115" t="s">
        <v>67</v>
      </c>
      <c r="J27" s="116" t="s">
        <v>70</v>
      </c>
      <c r="K27" s="122">
        <f>Fmcc*1.7/0.85/0.96/9866*1000</f>
        <v>4.5389688266525932</v>
      </c>
      <c r="L27" s="118" t="s">
        <v>6</v>
      </c>
      <c r="R27" s="263" t="str">
        <f>IF(TDS&gt;2000,"RO+SCC",IF(TDS&gt;1000,"SCC","No treatment"))</f>
        <v>No treatment</v>
      </c>
      <c r="S27" s="263"/>
    </row>
    <row r="28" spans="2:19" ht="15">
      <c r="B28" s="115" t="s">
        <v>31</v>
      </c>
      <c r="C28" s="116" t="s">
        <v>21</v>
      </c>
      <c r="D28" s="115">
        <v>80</v>
      </c>
      <c r="E28" s="115" t="s">
        <v>12</v>
      </c>
      <c r="R28" s="263" t="str">
        <f>IF(TSS&gt;10,"Gravity filtration","No gravity filtration")</f>
        <v>No gravity filtration</v>
      </c>
      <c r="S28" s="263"/>
    </row>
    <row r="29" spans="2:19">
      <c r="C29" s="116" t="s">
        <v>84</v>
      </c>
      <c r="D29" s="115">
        <v>2</v>
      </c>
      <c r="H29" s="129" t="s">
        <v>74</v>
      </c>
      <c r="I29" s="130"/>
      <c r="J29" s="131"/>
      <c r="K29" s="130"/>
      <c r="L29" s="130"/>
    </row>
    <row r="30" spans="2:19">
      <c r="H30" s="125" t="s">
        <v>79</v>
      </c>
    </row>
    <row r="31" spans="2:19">
      <c r="B31" s="129" t="s">
        <v>271</v>
      </c>
      <c r="C31" s="129"/>
      <c r="D31" s="129"/>
      <c r="H31" s="115" t="s">
        <v>107</v>
      </c>
      <c r="J31" s="116" t="s">
        <v>115</v>
      </c>
      <c r="K31" s="126">
        <f>Fmcc/Friver*Dtcr+Tsw</f>
        <v>24.299020778600429</v>
      </c>
      <c r="L31" s="115" t="s">
        <v>12</v>
      </c>
      <c r="O31" s="365"/>
      <c r="P31" s="365"/>
    </row>
    <row r="32" spans="2:19">
      <c r="B32" s="115" t="s">
        <v>265</v>
      </c>
      <c r="C32" s="115" t="s">
        <v>270</v>
      </c>
      <c r="D32" s="115">
        <v>50</v>
      </c>
      <c r="E32" s="115" t="s">
        <v>272</v>
      </c>
      <c r="H32" s="115" t="s">
        <v>112</v>
      </c>
      <c r="J32" s="116" t="s">
        <v>113</v>
      </c>
      <c r="K32" s="123" cm="1">
        <f t="array" ref="K32">HeatCoeffEvap(Tmix, uwind)</f>
        <v>19.260287550225808</v>
      </c>
      <c r="L32" s="115" t="s">
        <v>109</v>
      </c>
      <c r="R32" s="124"/>
    </row>
    <row r="33" spans="2:20">
      <c r="B33" s="115" t="s">
        <v>266</v>
      </c>
      <c r="C33" s="115" t="s">
        <v>269</v>
      </c>
      <c r="D33" s="248">
        <v>0.06</v>
      </c>
      <c r="H33" s="115" t="s">
        <v>97</v>
      </c>
      <c r="J33" s="116" t="s">
        <v>114</v>
      </c>
      <c r="K33" s="123">
        <f>HeatCoeff(Tmix,uwind)</f>
        <v>31.623360155910067</v>
      </c>
      <c r="L33" s="115" t="s">
        <v>109</v>
      </c>
      <c r="R33" s="360">
        <f>GetHumRatioFromTWetBulb(Tair,Twb,101325)</f>
        <v>1.4025615877926638E-2</v>
      </c>
    </row>
    <row r="34" spans="2:20">
      <c r="B34" s="115" t="s">
        <v>267</v>
      </c>
      <c r="C34" s="115" t="s">
        <v>268</v>
      </c>
      <c r="D34" s="115">
        <v>45</v>
      </c>
      <c r="E34" s="115" t="s">
        <v>273</v>
      </c>
      <c r="H34" s="115" t="s">
        <v>93</v>
      </c>
      <c r="J34" s="116" t="s">
        <v>116</v>
      </c>
      <c r="K34" s="119" cm="1">
        <f t="array" ref="K34">Qmcr/LatentHeat(Tmix)*Uev/Utot</f>
        <v>0.22434268558082446</v>
      </c>
      <c r="L34" s="115" t="s">
        <v>7</v>
      </c>
      <c r="M34" s="123">
        <f>K34/K13</f>
        <v>8.0763366809096802</v>
      </c>
      <c r="N34" s="115" t="s">
        <v>77</v>
      </c>
      <c r="O34" s="119"/>
      <c r="P34" s="123"/>
      <c r="R34" s="361">
        <f>GetMoistAirEnthalpy(Tair,R33)</f>
        <v>76361.571132012279</v>
      </c>
    </row>
    <row r="35" spans="2:20">
      <c r="B35" s="115" t="s">
        <v>278</v>
      </c>
      <c r="C35" s="116" t="s">
        <v>279</v>
      </c>
      <c r="D35" s="248">
        <v>0.8</v>
      </c>
      <c r="H35" s="125" t="s">
        <v>108</v>
      </c>
      <c r="N35" s="123"/>
      <c r="R35" s="124">
        <f xml:space="preserve"> GetTWetBulbFromMoistAirEnthalpy(R34)</f>
        <v>25.01309685518461</v>
      </c>
    </row>
    <row r="36" spans="2:20">
      <c r="J36" s="116" t="s">
        <v>105</v>
      </c>
      <c r="K36" s="119">
        <f>Dtcr+Tsw</f>
        <v>30</v>
      </c>
      <c r="L36" s="115" t="s">
        <v>12</v>
      </c>
      <c r="R36" s="359"/>
    </row>
    <row r="37" spans="2:20">
      <c r="B37" s="129" t="s">
        <v>306</v>
      </c>
      <c r="C37" s="129"/>
      <c r="D37" s="129"/>
      <c r="J37" s="116" t="s">
        <v>119</v>
      </c>
      <c r="K37" s="127">
        <f>Tsw+Dtcr*EXP(-HeatCoeff(K36,uwind)*D14/(Fmcc*4.187))</f>
        <v>26.537563246063126</v>
      </c>
      <c r="L37" s="115" t="s">
        <v>12</v>
      </c>
      <c r="M37" s="119"/>
      <c r="N37" s="119"/>
    </row>
    <row r="38" spans="2:20">
      <c r="B38" s="115" t="s">
        <v>311</v>
      </c>
      <c r="C38" s="116" t="s">
        <v>308</v>
      </c>
      <c r="D38" s="115">
        <v>200</v>
      </c>
      <c r="E38" s="115" t="s">
        <v>307</v>
      </c>
      <c r="F38" s="115">
        <v>1200</v>
      </c>
      <c r="J38" s="115"/>
      <c r="O38" s="120"/>
    </row>
    <row r="39" spans="2:20">
      <c r="B39" s="115" t="s">
        <v>312</v>
      </c>
      <c r="C39" s="116" t="s">
        <v>309</v>
      </c>
      <c r="D39" s="115">
        <v>5</v>
      </c>
      <c r="E39" s="115" t="s">
        <v>307</v>
      </c>
      <c r="F39" s="115">
        <v>25</v>
      </c>
      <c r="H39" s="129" t="s">
        <v>92</v>
      </c>
      <c r="I39" s="130"/>
      <c r="J39" s="131"/>
      <c r="K39" s="130"/>
      <c r="L39" s="130"/>
    </row>
    <row r="40" spans="2:20">
      <c r="B40" s="115" t="s">
        <v>313</v>
      </c>
      <c r="C40" s="116" t="s">
        <v>310</v>
      </c>
      <c r="D40" s="115">
        <v>0</v>
      </c>
      <c r="E40" s="115" t="s">
        <v>307</v>
      </c>
      <c r="F40" s="115">
        <v>30</v>
      </c>
      <c r="H40" s="125" t="s">
        <v>106</v>
      </c>
    </row>
    <row r="41" spans="2:20">
      <c r="H41" s="115" t="s">
        <v>99</v>
      </c>
      <c r="J41" s="116" t="s">
        <v>100</v>
      </c>
      <c r="K41" s="123">
        <f>Dtcr/LN(1+Dtcr/(Dtca))</f>
        <v>10.19545447823266</v>
      </c>
      <c r="L41" s="118" t="s">
        <v>12</v>
      </c>
    </row>
    <row r="42" spans="2:20">
      <c r="H42" s="115" t="s">
        <v>104</v>
      </c>
      <c r="J42" s="116" t="s">
        <v>105</v>
      </c>
      <c r="K42" s="123">
        <f>Dtpond+Tair</f>
        <v>50.195454478232662</v>
      </c>
      <c r="L42" s="118" t="s">
        <v>12</v>
      </c>
    </row>
    <row r="43" spans="2:20">
      <c r="H43" s="115" t="s">
        <v>98</v>
      </c>
      <c r="J43" s="116" t="s">
        <v>101</v>
      </c>
      <c r="K43" s="123">
        <f>Fmcc*1000*4.187/(HeatCoeff(Tpond,uwind)/1000)*LN(1+Dtcr/(Dtcr))*0.000001</f>
        <v>0.74333771963327744</v>
      </c>
      <c r="L43" s="115" t="s">
        <v>102</v>
      </c>
      <c r="M43" s="117">
        <f>Spond/(Pen/Ebpnr)*1000000</f>
        <v>743.3377196332774</v>
      </c>
      <c r="N43" s="115" t="s">
        <v>274</v>
      </c>
    </row>
    <row r="44" spans="2:20">
      <c r="B44" s="115" t="s">
        <v>326</v>
      </c>
      <c r="D44" s="116">
        <v>7</v>
      </c>
      <c r="E44" s="115" t="s">
        <v>341</v>
      </c>
      <c r="F44" s="115">
        <f>D44*24*60*60</f>
        <v>604800</v>
      </c>
      <c r="G44" s="115" t="s">
        <v>342</v>
      </c>
      <c r="H44" s="115" t="s">
        <v>93</v>
      </c>
      <c r="J44" s="116" t="s">
        <v>103</v>
      </c>
      <c r="K44" s="119">
        <f>0.01*Spond*(2.12+1.25*uwind)*(EXP(0.05*Tpond)-RH*EXP(0.05*Tair))</f>
        <v>0.34635543206696018</v>
      </c>
      <c r="L44" s="115" t="s">
        <v>11</v>
      </c>
      <c r="M44" s="119">
        <f>K44/K13</f>
        <v>12.468795554410567</v>
      </c>
      <c r="N44" s="115" t="s">
        <v>77</v>
      </c>
      <c r="Q44" s="116"/>
      <c r="R44" s="128" t="e">
        <f>Apond*(102.1+0.00232*uwind)/(Hsatv(Tsw+Dtcr)-Hsatl(Tsw+Dtcr))*(Psat(Tsw+Dtcr)-Psat(Tair))/10</f>
        <v>#NAME?</v>
      </c>
      <c r="S44" s="128"/>
      <c r="T44" s="115" t="s">
        <v>7</v>
      </c>
    </row>
    <row r="45" spans="2:20">
      <c r="B45" s="115" t="s">
        <v>383</v>
      </c>
      <c r="D45" s="115">
        <v>7.8</v>
      </c>
      <c r="E45" s="115" t="s">
        <v>396</v>
      </c>
      <c r="J45" s="115" t="s">
        <v>3</v>
      </c>
      <c r="K45" s="119">
        <f>(K44)/(COC-1)</f>
        <v>6.9271086413392038E-2</v>
      </c>
      <c r="L45" s="115" t="s">
        <v>11</v>
      </c>
    </row>
    <row r="46" spans="2:20">
      <c r="H46" s="129" t="s">
        <v>80</v>
      </c>
      <c r="I46" s="130"/>
      <c r="J46" s="131"/>
      <c r="K46" s="130"/>
      <c r="L46" s="130"/>
    </row>
    <row r="47" spans="2:20">
      <c r="B47" s="129" t="s">
        <v>371</v>
      </c>
      <c r="C47" s="129"/>
      <c r="D47" s="129"/>
      <c r="H47" s="375" t="s">
        <v>1</v>
      </c>
      <c r="J47" s="116" t="s">
        <v>41</v>
      </c>
      <c r="K47" s="119">
        <f>IFERROR(Evap(Tc-Dtca,Twb+Dtta,Twb)*Fmcc,0)</f>
        <v>0.40270899453701808</v>
      </c>
      <c r="L47" s="115" t="s">
        <v>7</v>
      </c>
    </row>
    <row r="48" spans="2:20">
      <c r="B48" s="115" t="s">
        <v>321</v>
      </c>
      <c r="C48" s="115" t="s">
        <v>349</v>
      </c>
      <c r="D48" s="123">
        <v>16.3786672462052</v>
      </c>
      <c r="E48" s="115" t="s">
        <v>334</v>
      </c>
      <c r="H48" s="375" t="s">
        <v>72</v>
      </c>
      <c r="J48" s="116" t="s">
        <v>73</v>
      </c>
      <c r="K48" s="119">
        <f>0.0002*Fmcc</f>
        <v>4.2990207786004304E-3</v>
      </c>
      <c r="L48" s="115" t="s">
        <v>7</v>
      </c>
      <c r="O48" s="365"/>
    </row>
    <row r="49" spans="2:24">
      <c r="B49" s="115" t="s">
        <v>335</v>
      </c>
      <c r="C49" s="115" t="s">
        <v>350</v>
      </c>
      <c r="D49" s="115">
        <v>151.89893010593534</v>
      </c>
      <c r="E49" s="115" t="s">
        <v>334</v>
      </c>
      <c r="H49" s="375" t="s">
        <v>3</v>
      </c>
      <c r="J49" s="116" t="s">
        <v>42</v>
      </c>
      <c r="K49" s="119">
        <f>(Fe-(COC-1)*Fd)/(COC-1)</f>
        <v>7.6242778128803187E-2</v>
      </c>
      <c r="L49" s="115" t="s">
        <v>7</v>
      </c>
      <c r="O49" s="365"/>
      <c r="Q49" s="359"/>
    </row>
    <row r="50" spans="2:24">
      <c r="B50" s="115" t="s">
        <v>338</v>
      </c>
      <c r="C50" s="115" t="s">
        <v>351</v>
      </c>
      <c r="D50" s="119">
        <v>8.8761809592337855</v>
      </c>
      <c r="E50" s="115" t="s">
        <v>334</v>
      </c>
      <c r="H50" s="375" t="s">
        <v>2</v>
      </c>
      <c r="J50" s="116" t="s">
        <v>43</v>
      </c>
      <c r="K50" s="119">
        <f>Fe+Fd+Fb</f>
        <v>0.48325079344442173</v>
      </c>
      <c r="L50" s="115" t="s">
        <v>7</v>
      </c>
      <c r="Q50" s="359"/>
    </row>
    <row r="51" spans="2:24">
      <c r="B51" s="115" t="s">
        <v>346</v>
      </c>
      <c r="C51" s="116" t="s">
        <v>352</v>
      </c>
      <c r="D51" s="115">
        <v>86.4</v>
      </c>
      <c r="E51" s="115" t="s">
        <v>334</v>
      </c>
      <c r="H51" s="375" t="s">
        <v>16</v>
      </c>
      <c r="J51" s="115"/>
      <c r="K51" s="119">
        <f>Fmu</f>
        <v>0.48325079344442173</v>
      </c>
      <c r="L51" s="115" t="s">
        <v>7</v>
      </c>
      <c r="M51" s="119">
        <f>K51/K13</f>
        <v>17.397028563999182</v>
      </c>
      <c r="N51" s="115" t="s">
        <v>77</v>
      </c>
    </row>
    <row r="52" spans="2:24">
      <c r="B52" s="115" t="s">
        <v>336</v>
      </c>
      <c r="C52" s="116" t="s">
        <v>353</v>
      </c>
      <c r="D52" s="123">
        <v>324.28576061225152</v>
      </c>
      <c r="E52" s="115" t="s">
        <v>337</v>
      </c>
      <c r="H52" s="375" t="s">
        <v>17</v>
      </c>
      <c r="J52" s="115"/>
      <c r="K52" s="119">
        <f>Fmu-Fb</f>
        <v>0.40700801531561853</v>
      </c>
      <c r="L52" s="115" t="s">
        <v>7</v>
      </c>
      <c r="M52" s="119">
        <f>K52/K13</f>
        <v>14.652288551362268</v>
      </c>
      <c r="N52" s="115" t="s">
        <v>77</v>
      </c>
      <c r="O52" s="115">
        <f>(K52-0.407007834282836)*100/K52</f>
        <v>4.4478923198124593E-5</v>
      </c>
    </row>
    <row r="54" spans="2:24">
      <c r="B54" s="129" t="s">
        <v>384</v>
      </c>
      <c r="H54" s="129" t="s">
        <v>13</v>
      </c>
      <c r="I54" s="130"/>
      <c r="J54" s="131"/>
      <c r="K54" s="130"/>
      <c r="L54" s="130"/>
      <c r="O54" s="363"/>
      <c r="P54" s="364"/>
      <c r="T54" s="123">
        <f>ImpingFresh(Fcc)/1000</f>
        <v>6.817821335098842E-2</v>
      </c>
    </row>
    <row r="55" spans="2:24">
      <c r="B55" s="115" t="s">
        <v>347</v>
      </c>
      <c r="D55" s="124">
        <v>8.5425689082555045E-2</v>
      </c>
      <c r="E55" s="115" t="s">
        <v>372</v>
      </c>
      <c r="H55" s="115" t="s">
        <v>81</v>
      </c>
      <c r="K55" s="123">
        <f>Qmcr/Dtcr/1.006</f>
        <v>89.463220675944328</v>
      </c>
      <c r="L55" s="115" t="s">
        <v>7</v>
      </c>
      <c r="O55" s="365"/>
      <c r="P55" s="365"/>
      <c r="Q55" s="365"/>
    </row>
    <row r="56" spans="2:24">
      <c r="B56" s="115" t="s">
        <v>366</v>
      </c>
      <c r="D56" s="124">
        <v>0.10175676830356666</v>
      </c>
      <c r="E56" s="115" t="s">
        <v>372</v>
      </c>
      <c r="H56" s="115" t="s">
        <v>288</v>
      </c>
      <c r="J56" s="115"/>
      <c r="K56" s="123">
        <f>0.0304*K8</f>
        <v>3.04</v>
      </c>
      <c r="L56" s="115" t="s">
        <v>6</v>
      </c>
      <c r="O56" s="362"/>
      <c r="P56" s="366"/>
      <c r="Q56" s="365"/>
    </row>
    <row r="57" spans="2:24">
      <c r="B57" s="115" t="s">
        <v>364</v>
      </c>
      <c r="D57" s="124">
        <v>9.1582201022531798E-2</v>
      </c>
      <c r="E57" s="115" t="s">
        <v>372</v>
      </c>
      <c r="J57" s="115"/>
      <c r="O57" s="362"/>
      <c r="P57" s="366"/>
    </row>
    <row r="58" spans="2:24">
      <c r="B58" s="115" t="s">
        <v>367</v>
      </c>
      <c r="D58" s="124">
        <v>4.7288992095714869E-2</v>
      </c>
      <c r="E58" s="115" t="s">
        <v>372</v>
      </c>
      <c r="H58" s="129" t="s">
        <v>326</v>
      </c>
      <c r="I58" s="129"/>
      <c r="J58" s="129"/>
      <c r="K58" s="129"/>
      <c r="L58" s="129"/>
      <c r="O58" s="362"/>
      <c r="P58" s="366"/>
    </row>
    <row r="59" spans="2:24">
      <c r="B59" s="115" t="s">
        <v>368</v>
      </c>
      <c r="D59" s="124">
        <v>2.422146169520074E-2</v>
      </c>
      <c r="E59" s="115" t="s">
        <v>372</v>
      </c>
      <c r="H59" s="115" t="s">
        <v>327</v>
      </c>
      <c r="K59" s="119">
        <f>O63*D44/1000000</f>
        <v>0.29227007987518622</v>
      </c>
      <c r="L59" s="116" t="s">
        <v>344</v>
      </c>
    </row>
    <row r="60" spans="2:24">
      <c r="B60" s="115" t="s">
        <v>369</v>
      </c>
      <c r="C60" s="115"/>
      <c r="D60" s="124">
        <v>1.6510093908593086E-2</v>
      </c>
      <c r="E60" s="115" t="s">
        <v>372</v>
      </c>
      <c r="H60" s="115" t="s">
        <v>328</v>
      </c>
      <c r="K60" s="119">
        <f>Fb*1000*4.187/(HeatCoeff(Tpond,uwind)/1000)*LN(1+Dtcr/(Dtcr))*0.000001*14*D45</f>
        <v>0.28791744092724941</v>
      </c>
      <c r="L60" s="116" t="s">
        <v>344</v>
      </c>
      <c r="T60" s="116">
        <f>(HeatCoeff(Tpond,uwind)/1000)</f>
        <v>8.3923154446099671E-2</v>
      </c>
    </row>
    <row r="62" spans="2:24">
      <c r="H62" s="125"/>
    </row>
    <row r="63" spans="2:24">
      <c r="H63" s="115" t="s">
        <v>358</v>
      </c>
      <c r="K63" s="119">
        <f>IFERROR(Fmu,0)</f>
        <v>0.48325079344442173</v>
      </c>
      <c r="O63" s="117">
        <f>Fwtin*60*60*24</f>
        <v>41752.868553598033</v>
      </c>
      <c r="P63" s="115" t="s">
        <v>343</v>
      </c>
      <c r="Q63" s="119">
        <f>O63*365/1000000*App</f>
        <v>12.191837617650627</v>
      </c>
      <c r="R63" s="119" t="s">
        <v>373</v>
      </c>
      <c r="S63" s="119"/>
    </row>
    <row r="64" spans="2:24">
      <c r="H64" s="129" t="s">
        <v>365</v>
      </c>
      <c r="I64" s="129"/>
      <c r="J64" s="129"/>
      <c r="K64" s="129"/>
      <c r="L64" s="129"/>
      <c r="N64" s="129" t="s">
        <v>357</v>
      </c>
      <c r="O64" s="129"/>
      <c r="P64" s="129"/>
      <c r="U64" s="221"/>
      <c r="V64" s="221"/>
      <c r="X64" s="221"/>
    </row>
    <row r="65" spans="6:27">
      <c r="H65" s="115" t="s">
        <v>320</v>
      </c>
      <c r="K65" s="123">
        <f>Fwtin*Ctf*flgTF</f>
        <v>0</v>
      </c>
      <c r="L65" s="115" t="s">
        <v>157</v>
      </c>
      <c r="N65" s="115" t="s">
        <v>320</v>
      </c>
      <c r="P65" s="221" t="b">
        <f>NH3_&gt;5</f>
        <v>0</v>
      </c>
      <c r="Q65" s="115">
        <f>--flgTF</f>
        <v>0</v>
      </c>
      <c r="U65" s="323"/>
      <c r="V65" s="323"/>
      <c r="X65" s="323"/>
    </row>
    <row r="66" spans="6:27">
      <c r="H66" s="115" t="s">
        <v>316</v>
      </c>
      <c r="K66" s="123">
        <f>Fwtin*Cscc*flgCC</f>
        <v>0</v>
      </c>
      <c r="L66" s="115" t="s">
        <v>157</v>
      </c>
      <c r="N66" s="115" t="s">
        <v>316</v>
      </c>
      <c r="P66" s="221" t="b">
        <f>TDS&gt;1000</f>
        <v>0</v>
      </c>
      <c r="Q66" s="115">
        <f>--flgCC</f>
        <v>0</v>
      </c>
      <c r="U66" s="323"/>
      <c r="V66" s="323"/>
      <c r="X66" s="323"/>
    </row>
    <row r="67" spans="6:27">
      <c r="H67" s="115" t="s">
        <v>348</v>
      </c>
      <c r="K67" s="123">
        <f>Fwtin*Cro*flgRO</f>
        <v>0</v>
      </c>
      <c r="L67" s="115" t="s">
        <v>157</v>
      </c>
      <c r="N67" s="115" t="s">
        <v>348</v>
      </c>
      <c r="P67" s="221" t="b">
        <f>TDS&gt;2000</f>
        <v>0</v>
      </c>
      <c r="Q67" s="115">
        <f>--flgRO</f>
        <v>0</v>
      </c>
      <c r="U67" s="323"/>
      <c r="V67" s="323"/>
      <c r="X67" s="323"/>
    </row>
    <row r="68" spans="6:27">
      <c r="H68" s="115" t="s">
        <v>345</v>
      </c>
      <c r="K68" s="123">
        <f>Fwtin*Cgf*flgGF</f>
        <v>0</v>
      </c>
      <c r="L68" s="115" t="s">
        <v>157</v>
      </c>
      <c r="N68" s="115" t="s">
        <v>345</v>
      </c>
      <c r="P68" s="221" t="b">
        <f>TSS&gt;10</f>
        <v>0</v>
      </c>
      <c r="Q68" s="115">
        <f>--flgGF</f>
        <v>0</v>
      </c>
      <c r="U68" s="323"/>
      <c r="V68" s="323"/>
      <c r="X68" s="323"/>
    </row>
    <row r="69" spans="6:27">
      <c r="U69" s="323"/>
      <c r="V69" s="323"/>
      <c r="X69" s="323"/>
    </row>
    <row r="70" spans="6:27" ht="12.75">
      <c r="H70" s="115" t="s">
        <v>360</v>
      </c>
      <c r="K70" s="123">
        <f>SUM(K65:K68)</f>
        <v>0</v>
      </c>
      <c r="L70" s="115" t="s">
        <v>157</v>
      </c>
      <c r="N70" s="115" t="s">
        <v>362</v>
      </c>
      <c r="P70" s="221" t="b">
        <f>AND(OR(P65:P68),Q70)</f>
        <v>0</v>
      </c>
      <c r="Q70" s="115" t="b">
        <f>VLOOKUP(FlagSelection,Model!$Q$7:$S$13,3)</f>
        <v>1</v>
      </c>
      <c r="U70" s="221"/>
      <c r="V70" s="322"/>
      <c r="W70" s="322"/>
      <c r="X70" s="322"/>
      <c r="Y70" s="322"/>
      <c r="Z70" s="322"/>
    </row>
    <row r="71" spans="6:27">
      <c r="N71" s="115" t="s">
        <v>361</v>
      </c>
      <c r="P71" s="221" t="b">
        <f>flgTower</f>
        <v>1</v>
      </c>
    </row>
    <row r="72" spans="6:27">
      <c r="N72" s="115" t="s">
        <v>359</v>
      </c>
      <c r="P72" s="221" t="b">
        <f>IF(OR((FlagSelection=4),(FlagSelection=5),(FlagSelection=7)),TRUE)</f>
        <v>1</v>
      </c>
    </row>
    <row r="73" spans="6:27">
      <c r="T73" s="115" t="s">
        <v>394</v>
      </c>
    </row>
    <row r="74" spans="6:27">
      <c r="H74" s="129" t="s">
        <v>370</v>
      </c>
      <c r="I74" s="129"/>
      <c r="J74" s="129"/>
      <c r="K74" s="129"/>
      <c r="L74" s="129"/>
      <c r="T74" s="328"/>
      <c r="U74" s="258" t="s">
        <v>387</v>
      </c>
      <c r="V74" s="329" t="s">
        <v>388</v>
      </c>
      <c r="W74" s="329" t="s">
        <v>389</v>
      </c>
      <c r="X74" s="329" t="s">
        <v>390</v>
      </c>
      <c r="Y74" s="329" t="s">
        <v>391</v>
      </c>
      <c r="Z74" s="330" t="s">
        <v>392</v>
      </c>
      <c r="AA74" s="331" t="s">
        <v>372</v>
      </c>
    </row>
    <row r="75" spans="6:27" ht="12.75">
      <c r="F75" s="327">
        <v>7.6991339999999999</v>
      </c>
      <c r="H75" s="115" t="s">
        <v>347</v>
      </c>
      <c r="K75" s="123">
        <f>M75*$Q$63</f>
        <v>1.041496129670421</v>
      </c>
      <c r="L75" s="115" t="s">
        <v>157</v>
      </c>
      <c r="M75" s="124">
        <f>SUMPRODUCT($Q$65:$Q$68,U76:U79)+U75</f>
        <v>8.5425689082555045E-2</v>
      </c>
      <c r="T75" s="332" t="s">
        <v>393</v>
      </c>
      <c r="U75" s="333">
        <v>8.5425689082555045E-2</v>
      </c>
      <c r="V75" s="333">
        <v>4.0702707321426668E-2</v>
      </c>
      <c r="W75" s="333">
        <v>0</v>
      </c>
      <c r="X75" s="333">
        <v>1.4186697628714461E-2</v>
      </c>
      <c r="Y75" s="333">
        <v>0</v>
      </c>
      <c r="Z75" s="232">
        <v>0</v>
      </c>
      <c r="AA75" s="334"/>
    </row>
    <row r="76" spans="6:27" ht="12.75">
      <c r="F76" s="327">
        <v>9.1709999999999994</v>
      </c>
      <c r="H76" s="115" t="s">
        <v>366</v>
      </c>
      <c r="K76" s="123">
        <f t="shared" ref="K76:K80" si="0">M76*$Q$63</f>
        <v>0.49624079826159323</v>
      </c>
      <c r="L76" s="115" t="s">
        <v>157</v>
      </c>
      <c r="M76" s="124">
        <f>SUMPRODUCT($Q$65:$Q$68,V76:V79)+V75</f>
        <v>4.0702707321426668E-2</v>
      </c>
      <c r="T76" s="324" t="s">
        <v>386</v>
      </c>
      <c r="U76" s="325">
        <v>0</v>
      </c>
      <c r="V76" s="335">
        <v>1.5263515245534997E-2</v>
      </c>
      <c r="W76" s="335">
        <v>0</v>
      </c>
      <c r="X76" s="335">
        <v>7.0933488143572303E-3</v>
      </c>
      <c r="Y76" s="335">
        <v>7.2664385085602218E-3</v>
      </c>
      <c r="Z76" s="335">
        <v>4.9530281725779259E-3</v>
      </c>
      <c r="AA76" s="334"/>
    </row>
    <row r="77" spans="6:27" ht="12.75">
      <c r="F77" s="327">
        <v>8.2539999999999996</v>
      </c>
      <c r="H77" s="115" t="s">
        <v>364</v>
      </c>
      <c r="K77" s="123">
        <f t="shared" si="0"/>
        <v>0</v>
      </c>
      <c r="L77" s="115" t="s">
        <v>157</v>
      </c>
      <c r="M77" s="124">
        <f>SUMPRODUCT($Q$65:$Q$68,W76:W79)+W75</f>
        <v>0</v>
      </c>
      <c r="T77" s="324" t="s">
        <v>335</v>
      </c>
      <c r="U77" s="325">
        <v>0</v>
      </c>
      <c r="V77" s="335">
        <v>3.0527030491069994E-2</v>
      </c>
      <c r="W77" s="335">
        <v>8.2423980920278625E-2</v>
      </c>
      <c r="X77" s="335">
        <v>1.6551147233500204E-2</v>
      </c>
      <c r="Y77" s="335">
        <v>7.2664385085602218E-3</v>
      </c>
      <c r="Z77" s="335">
        <v>4.9530281725779259E-3</v>
      </c>
      <c r="AA77" s="334"/>
    </row>
    <row r="78" spans="6:27" ht="12.75">
      <c r="F78" s="327">
        <v>4.2619999999999996</v>
      </c>
      <c r="H78" s="115" t="s">
        <v>367</v>
      </c>
      <c r="K78" s="123">
        <f t="shared" si="0"/>
        <v>0.1729619138199959</v>
      </c>
      <c r="L78" s="115" t="s">
        <v>157</v>
      </c>
      <c r="M78" s="124">
        <f>SUMPRODUCT($Q$65:$Q$68,X76:X79)+X75</f>
        <v>1.4186697628714461E-2</v>
      </c>
      <c r="T78" s="324" t="s">
        <v>346</v>
      </c>
      <c r="U78" s="326">
        <v>0</v>
      </c>
      <c r="V78" s="335">
        <v>1.5263515245534997E-2</v>
      </c>
      <c r="W78" s="335">
        <v>9.1582201022531798E-3</v>
      </c>
      <c r="X78" s="335">
        <v>9.4577984191429737E-3</v>
      </c>
      <c r="Y78" s="335">
        <v>7.2664385085602218E-3</v>
      </c>
      <c r="Z78" s="333">
        <f>3*lpc/1000</f>
        <v>0.13500000000000001</v>
      </c>
      <c r="AA78" s="334"/>
    </row>
    <row r="79" spans="6:27" ht="12.75">
      <c r="F79" s="327">
        <v>2.1829999999999998</v>
      </c>
      <c r="H79" s="115" t="s">
        <v>368</v>
      </c>
      <c r="K79" s="123">
        <f t="shared" si="0"/>
        <v>0</v>
      </c>
      <c r="L79" s="115" t="s">
        <v>157</v>
      </c>
      <c r="M79" s="124">
        <f>SUMPRODUCT($Q$65:$Q$68,Y76:Y79)+Y75</f>
        <v>0</v>
      </c>
      <c r="T79" s="147" t="s">
        <v>385</v>
      </c>
      <c r="U79" s="336">
        <v>0</v>
      </c>
      <c r="V79" s="337">
        <v>1.5263515245534997E-2</v>
      </c>
      <c r="W79" s="337">
        <v>9.1582201022531798E-3</v>
      </c>
      <c r="X79" s="337">
        <v>9.4577984191429737E-3</v>
      </c>
      <c r="Y79" s="337">
        <v>7.2664385085602218E-3</v>
      </c>
      <c r="Z79" s="335">
        <v>4.9530281725779259E-3</v>
      </c>
      <c r="AA79" s="338"/>
    </row>
    <row r="80" spans="6:27" ht="12.75">
      <c r="F80" s="327">
        <v>1.488</v>
      </c>
      <c r="H80" s="115" t="s">
        <v>369</v>
      </c>
      <c r="K80" s="123">
        <f t="shared" si="0"/>
        <v>0</v>
      </c>
      <c r="L80" s="115" t="s">
        <v>157</v>
      </c>
      <c r="M80" s="124">
        <f>SUMPRODUCT($Q$65:$Q$68,Z76:Z79)+Z75</f>
        <v>0</v>
      </c>
    </row>
    <row r="81" spans="11:11">
      <c r="K81" s="123">
        <f>SUM(K75:K80)</f>
        <v>1.7106988417520101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Scroll Bar 2">
              <controlPr defaultSize="0" autoPict="0">
                <anchor moveWithCells="1">
                  <from>
                    <xdr:col>4</xdr:col>
                    <xdr:colOff>409575</xdr:colOff>
                    <xdr:row>24</xdr:row>
                    <xdr:rowOff>123825</xdr:rowOff>
                  </from>
                  <to>
                    <xdr:col>6</xdr:col>
                    <xdr:colOff>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Scroll Bar 7">
              <controlPr defaultSize="0" autoPict="0">
                <anchor moveWithCells="1">
                  <from>
                    <xdr:col>4</xdr:col>
                    <xdr:colOff>28575</xdr:colOff>
                    <xdr:row>2</xdr:row>
                    <xdr:rowOff>104775</xdr:rowOff>
                  </from>
                  <to>
                    <xdr:col>5</xdr:col>
                    <xdr:colOff>304800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4:I57"/>
  <sheetViews>
    <sheetView topLeftCell="A35" workbookViewId="0">
      <selection activeCell="I43" sqref="I43"/>
    </sheetView>
  </sheetViews>
  <sheetFormatPr defaultRowHeight="15.75"/>
  <cols>
    <col min="1" max="1" width="24.375" customWidth="1"/>
  </cols>
  <sheetData>
    <row r="4" spans="1:7">
      <c r="A4" t="s">
        <v>163</v>
      </c>
      <c r="B4">
        <v>800</v>
      </c>
      <c r="C4">
        <v>1400</v>
      </c>
      <c r="D4" t="s">
        <v>220</v>
      </c>
    </row>
    <row r="5" spans="1:7">
      <c r="F5" t="s">
        <v>219</v>
      </c>
    </row>
    <row r="6" spans="1:7">
      <c r="A6" s="213" t="s">
        <v>164</v>
      </c>
      <c r="F6" t="s">
        <v>217</v>
      </c>
      <c r="G6" t="s">
        <v>218</v>
      </c>
    </row>
    <row r="7" spans="1:7">
      <c r="A7" t="s">
        <v>165</v>
      </c>
      <c r="B7">
        <v>10000</v>
      </c>
      <c r="C7">
        <v>40000</v>
      </c>
      <c r="F7">
        <v>50</v>
      </c>
      <c r="G7">
        <v>-30000</v>
      </c>
    </row>
    <row r="8" spans="1:7">
      <c r="A8" t="s">
        <v>166</v>
      </c>
      <c r="B8">
        <v>70000</v>
      </c>
      <c r="C8">
        <v>120000</v>
      </c>
      <c r="F8">
        <v>83.33</v>
      </c>
      <c r="G8">
        <v>3333</v>
      </c>
    </row>
    <row r="9" spans="1:7">
      <c r="A9" t="s">
        <v>167</v>
      </c>
      <c r="B9">
        <v>300000</v>
      </c>
      <c r="C9">
        <v>600000</v>
      </c>
      <c r="D9" t="s">
        <v>168</v>
      </c>
      <c r="F9">
        <v>500</v>
      </c>
      <c r="G9">
        <v>-100000</v>
      </c>
    </row>
    <row r="11" spans="1:7">
      <c r="A11" s="213" t="s">
        <v>169</v>
      </c>
    </row>
    <row r="12" spans="1:7">
      <c r="A12" t="s">
        <v>170</v>
      </c>
      <c r="B12">
        <v>20000</v>
      </c>
      <c r="C12">
        <v>30000</v>
      </c>
      <c r="F12">
        <v>16.667000000000002</v>
      </c>
      <c r="G12">
        <v>6666.7</v>
      </c>
    </row>
    <row r="13" spans="1:7">
      <c r="A13" t="s">
        <v>171</v>
      </c>
      <c r="D13" t="s">
        <v>172</v>
      </c>
    </row>
    <row r="20" spans="1:6">
      <c r="D20" t="s">
        <v>221</v>
      </c>
      <c r="F20" t="s">
        <v>11</v>
      </c>
    </row>
    <row r="21" spans="1:6">
      <c r="A21" t="s">
        <v>173</v>
      </c>
      <c r="C21" s="220">
        <v>46</v>
      </c>
      <c r="D21">
        <v>1.2</v>
      </c>
    </row>
    <row r="22" spans="1:6">
      <c r="A22" t="s">
        <v>174</v>
      </c>
      <c r="C22" s="220">
        <v>0.63</v>
      </c>
      <c r="D22">
        <v>1.6E-2</v>
      </c>
    </row>
    <row r="23" spans="1:6">
      <c r="A23" t="s">
        <v>175</v>
      </c>
      <c r="C23" s="220">
        <v>0.4</v>
      </c>
      <c r="D23">
        <v>1.0999999999999999E-2</v>
      </c>
    </row>
    <row r="24" spans="1:6">
      <c r="A24" t="s">
        <v>176</v>
      </c>
      <c r="C24" s="220">
        <v>1.03</v>
      </c>
      <c r="D24">
        <v>2.7E-2</v>
      </c>
    </row>
    <row r="27" spans="1:6">
      <c r="C27" t="s">
        <v>177</v>
      </c>
    </row>
    <row r="28" spans="1:6">
      <c r="A28" t="s">
        <v>178</v>
      </c>
      <c r="C28">
        <v>6341</v>
      </c>
      <c r="D28" t="s">
        <v>179</v>
      </c>
    </row>
    <row r="29" spans="1:6">
      <c r="A29" t="s">
        <v>180</v>
      </c>
      <c r="C29">
        <v>4167</v>
      </c>
    </row>
    <row r="30" spans="1:6">
      <c r="A30" t="s">
        <v>181</v>
      </c>
      <c r="C30">
        <v>2542</v>
      </c>
    </row>
    <row r="31" spans="1:6">
      <c r="A31" t="s">
        <v>182</v>
      </c>
      <c r="C31">
        <v>1838</v>
      </c>
    </row>
    <row r="32" spans="1:6">
      <c r="A32" t="s">
        <v>183</v>
      </c>
      <c r="C32">
        <v>517</v>
      </c>
    </row>
    <row r="33" spans="1:9">
      <c r="A33" t="s">
        <v>184</v>
      </c>
      <c r="C33">
        <v>419</v>
      </c>
    </row>
    <row r="34" spans="1:9">
      <c r="A34" t="s">
        <v>185</v>
      </c>
      <c r="C34">
        <v>220</v>
      </c>
    </row>
    <row r="39" spans="1:9">
      <c r="B39" t="s">
        <v>284</v>
      </c>
      <c r="C39">
        <f>Model!D7+IF(location=1,1,0)-1</f>
        <v>0</v>
      </c>
    </row>
    <row r="40" spans="1:9">
      <c r="A40" t="s">
        <v>195</v>
      </c>
    </row>
    <row r="41" spans="1:9">
      <c r="B41" s="449" t="s">
        <v>414</v>
      </c>
      <c r="C41" s="458"/>
      <c r="D41" s="459" t="s">
        <v>413</v>
      </c>
      <c r="E41" s="460"/>
    </row>
    <row r="42" spans="1:9">
      <c r="B42" s="215" t="s">
        <v>197</v>
      </c>
      <c r="C42" s="215" t="s">
        <v>198</v>
      </c>
      <c r="D42" s="215" t="s">
        <v>197</v>
      </c>
      <c r="E42" s="215" t="s">
        <v>198</v>
      </c>
      <c r="G42" s="216" t="s">
        <v>196</v>
      </c>
    </row>
    <row r="43" spans="1:9" ht="24">
      <c r="A43" s="217" t="s">
        <v>199</v>
      </c>
      <c r="B43" s="217">
        <v>6500</v>
      </c>
      <c r="C43" s="217"/>
      <c r="D43" s="217">
        <v>6500</v>
      </c>
      <c r="E43" s="217"/>
      <c r="F43">
        <v>1</v>
      </c>
      <c r="G43" s="218" t="s">
        <v>201</v>
      </c>
      <c r="I43">
        <f ca="1">OFFSET(Sheet2!$B43,,Sheet2!$C$39)</f>
        <v>6500</v>
      </c>
    </row>
    <row r="44" spans="1:9" ht="24">
      <c r="A44" s="217" t="s">
        <v>202</v>
      </c>
      <c r="B44" s="217">
        <v>18.600000000000001</v>
      </c>
      <c r="C44" s="217"/>
      <c r="D44" s="217">
        <v>18.600000000000001</v>
      </c>
      <c r="E44" s="217"/>
      <c r="F44">
        <v>2</v>
      </c>
      <c r="G44" s="218" t="s">
        <v>201</v>
      </c>
    </row>
    <row r="45" spans="1:9" ht="24">
      <c r="A45" s="217" t="s">
        <v>203</v>
      </c>
      <c r="B45" s="217">
        <v>415</v>
      </c>
      <c r="C45" s="217">
        <v>415</v>
      </c>
      <c r="D45" s="217">
        <v>300</v>
      </c>
      <c r="E45" s="217">
        <v>300</v>
      </c>
      <c r="F45">
        <v>3</v>
      </c>
      <c r="G45" s="218" t="s">
        <v>204</v>
      </c>
    </row>
    <row r="46" spans="1:9">
      <c r="A46" s="217" t="s">
        <v>205</v>
      </c>
      <c r="D46" s="217">
        <v>1000</v>
      </c>
      <c r="E46" s="217">
        <v>3000</v>
      </c>
      <c r="F46">
        <v>4</v>
      </c>
      <c r="G46" s="218" t="s">
        <v>200</v>
      </c>
    </row>
    <row r="47" spans="1:9" ht="24">
      <c r="A47" s="217" t="s">
        <v>206</v>
      </c>
      <c r="B47" s="217">
        <v>1200</v>
      </c>
      <c r="C47" s="217">
        <v>1200</v>
      </c>
      <c r="D47" s="217">
        <v>500</v>
      </c>
      <c r="E47" s="217">
        <v>500</v>
      </c>
      <c r="F47">
        <v>5</v>
      </c>
      <c r="G47" s="218" t="s">
        <v>204</v>
      </c>
    </row>
    <row r="48" spans="1:9" ht="24">
      <c r="A48" s="217" t="s">
        <v>207</v>
      </c>
      <c r="B48" s="217">
        <v>400</v>
      </c>
      <c r="C48" s="217">
        <v>400</v>
      </c>
      <c r="D48" s="217">
        <v>450</v>
      </c>
      <c r="E48" s="217">
        <v>450</v>
      </c>
      <c r="F48">
        <v>6</v>
      </c>
      <c r="G48" s="218" t="s">
        <v>204</v>
      </c>
    </row>
    <row r="49" spans="1:7" ht="24">
      <c r="A49" s="217" t="s">
        <v>208</v>
      </c>
      <c r="B49" s="217">
        <v>600</v>
      </c>
      <c r="C49" s="217">
        <v>600</v>
      </c>
      <c r="D49" s="217">
        <v>1800</v>
      </c>
      <c r="E49" s="217">
        <v>1800</v>
      </c>
      <c r="F49">
        <v>7</v>
      </c>
      <c r="G49" s="218" t="s">
        <v>204</v>
      </c>
    </row>
    <row r="50" spans="1:7" ht="24">
      <c r="A50" s="217" t="s">
        <v>209</v>
      </c>
      <c r="D50" s="217">
        <v>300</v>
      </c>
      <c r="E50" s="217">
        <v>300</v>
      </c>
      <c r="F50">
        <v>8</v>
      </c>
      <c r="G50" s="218" t="s">
        <v>204</v>
      </c>
    </row>
    <row r="51" spans="1:7" ht="24">
      <c r="A51" s="217" t="s">
        <v>210</v>
      </c>
      <c r="B51" s="217">
        <v>780</v>
      </c>
      <c r="C51" s="217">
        <v>780</v>
      </c>
      <c r="D51" s="217">
        <v>500</v>
      </c>
      <c r="E51" s="217">
        <v>500</v>
      </c>
      <c r="F51">
        <v>9</v>
      </c>
      <c r="G51" s="218" t="s">
        <v>204</v>
      </c>
    </row>
    <row r="52" spans="1:7" ht="24">
      <c r="A52" s="217" t="s">
        <v>211</v>
      </c>
      <c r="B52" s="217">
        <v>5100</v>
      </c>
      <c r="C52" s="217">
        <v>5100</v>
      </c>
      <c r="D52" s="217">
        <v>1700</v>
      </c>
      <c r="E52" s="217">
        <v>1700</v>
      </c>
      <c r="F52">
        <v>10</v>
      </c>
      <c r="G52" s="218" t="s">
        <v>204</v>
      </c>
    </row>
    <row r="53" spans="1:7" ht="24">
      <c r="A53" s="217" t="s">
        <v>212</v>
      </c>
      <c r="B53" s="217">
        <v>1200</v>
      </c>
      <c r="C53" s="217">
        <v>1200</v>
      </c>
      <c r="D53" s="217">
        <v>1900</v>
      </c>
      <c r="E53" s="217">
        <v>1900</v>
      </c>
      <c r="F53">
        <v>11</v>
      </c>
      <c r="G53" s="218" t="s">
        <v>204</v>
      </c>
    </row>
    <row r="54" spans="1:7" ht="24">
      <c r="A54" s="217" t="s">
        <v>213</v>
      </c>
      <c r="D54" s="217">
        <v>1700</v>
      </c>
      <c r="E54" s="217">
        <v>1700</v>
      </c>
      <c r="F54">
        <v>12</v>
      </c>
      <c r="G54" s="218" t="s">
        <v>204</v>
      </c>
    </row>
    <row r="55" spans="1:7" ht="24">
      <c r="A55" s="217" t="s">
        <v>214</v>
      </c>
      <c r="B55" s="217">
        <v>400</v>
      </c>
      <c r="C55" s="217">
        <v>400</v>
      </c>
      <c r="D55" s="217">
        <v>400</v>
      </c>
      <c r="E55" s="217">
        <v>400</v>
      </c>
      <c r="F55">
        <v>13</v>
      </c>
      <c r="G55" s="218" t="s">
        <v>204</v>
      </c>
    </row>
    <row r="56" spans="1:7">
      <c r="A56" s="217" t="s">
        <v>215</v>
      </c>
      <c r="B56" s="217">
        <v>310</v>
      </c>
      <c r="C56" s="217">
        <v>310</v>
      </c>
      <c r="D56" s="217"/>
      <c r="E56" s="217"/>
      <c r="F56">
        <v>14</v>
      </c>
      <c r="G56" s="219" t="s">
        <v>216</v>
      </c>
    </row>
    <row r="57" spans="1:7">
      <c r="B57">
        <v>0</v>
      </c>
      <c r="C57">
        <v>1</v>
      </c>
      <c r="D57">
        <v>2</v>
      </c>
      <c r="E57">
        <v>3</v>
      </c>
    </row>
  </sheetData>
  <mergeCells count="2">
    <mergeCell ref="B41:C41"/>
    <mergeCell ref="D41:E4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502E4-1762-4467-99B9-7403A75D62AC}">
  <sheetPr codeName="Sheet3"/>
  <dimension ref="B3:O81"/>
  <sheetViews>
    <sheetView topLeftCell="A2" zoomScaleNormal="100" workbookViewId="0">
      <selection activeCell="R5" sqref="R5"/>
    </sheetView>
  </sheetViews>
  <sheetFormatPr defaultRowHeight="15.75"/>
  <cols>
    <col min="2" max="2" width="11.25" bestFit="1" customWidth="1"/>
    <col min="3" max="3" width="11.25" customWidth="1"/>
  </cols>
  <sheetData>
    <row r="3" spans="2:15">
      <c r="C3" s="449" t="s">
        <v>399</v>
      </c>
      <c r="D3" s="449"/>
      <c r="E3" s="449"/>
      <c r="H3" s="351" t="s">
        <v>404</v>
      </c>
      <c r="I3" s="351"/>
      <c r="J3" s="351"/>
      <c r="M3" s="351" t="s">
        <v>404</v>
      </c>
      <c r="N3" s="351"/>
      <c r="O3" s="351"/>
    </row>
    <row r="4" spans="2:15">
      <c r="B4" t="s">
        <v>400</v>
      </c>
      <c r="C4" t="s">
        <v>402</v>
      </c>
      <c r="D4" t="s">
        <v>401</v>
      </c>
      <c r="E4" t="s">
        <v>403</v>
      </c>
      <c r="G4" t="s">
        <v>405</v>
      </c>
      <c r="H4" t="s">
        <v>402</v>
      </c>
      <c r="I4" t="s">
        <v>401</v>
      </c>
      <c r="J4" t="s">
        <v>403</v>
      </c>
      <c r="L4" t="s">
        <v>405</v>
      </c>
      <c r="M4" t="s">
        <v>402</v>
      </c>
      <c r="N4" t="s">
        <v>401</v>
      </c>
      <c r="O4" t="s">
        <v>403</v>
      </c>
    </row>
    <row r="5" spans="2:15">
      <c r="B5">
        <v>0.01</v>
      </c>
      <c r="C5">
        <f t="shared" ref="C5:C36" si="0" xml:space="preserve"> 0.007529613 + 4.212269 * B5 - 0.001194192 * B5 ^ 2 + 0.00002101532 * B5 ^ 3 - 0.0000001935015 * B5 ^ 4 + 0.000000001042925 * B5 ^ 5 - 2.128003 * 10 ^ -12 * B5 ^ 6</f>
        <v>4.9652183601813386E-2</v>
      </c>
      <c r="D5">
        <f xml:space="preserve"> (2500.918 + 1.834961 * B5 - 0.0003841512 * B5 ^ 2 - 0.000001108345 * B5 ^ 3 - 0.00000004896947 * B5 ^ 4 + 0.0000000001292303 * B5 ^ 5 - 0.0000000000002593501 * B5 ^ 6)</f>
        <v>2500.9363495715838</v>
      </c>
      <c r="E5">
        <f t="shared" ref="E5:E36" si="1">D5-C5</f>
        <v>2500.8866973879822</v>
      </c>
      <c r="G5">
        <v>0.01</v>
      </c>
      <c r="H5">
        <v>0</v>
      </c>
      <c r="I5">
        <v>2500.5</v>
      </c>
      <c r="J5">
        <f>I5-H5</f>
        <v>2500.5</v>
      </c>
      <c r="L5">
        <v>0.01</v>
      </c>
      <c r="M5">
        <v>0</v>
      </c>
      <c r="N5">
        <v>2501.3000000000002</v>
      </c>
      <c r="O5">
        <f>N5-M5</f>
        <v>2501.3000000000002</v>
      </c>
    </row>
    <row r="6" spans="2:15">
      <c r="B6">
        <v>5</v>
      </c>
      <c r="C6">
        <f t="shared" si="0"/>
        <v>21.041529015453079</v>
      </c>
      <c r="D6">
        <f t="shared" ref="D6:D69" si="2" xml:space="preserve"> (2500.918 + 1.834961 * B6 - 0.0003841512 * B6 ^ 2 - 0.000001108345 * B6 ^ 3 - 0.00000004896947 * B6 ^ 4 + 0.0000000001292303 * B6 ^ 5 - 0.0000000000002593501 * B6 ^ 6)</f>
        <v>2510.083032470749</v>
      </c>
      <c r="E6">
        <f t="shared" si="1"/>
        <v>2489.0415034552962</v>
      </c>
      <c r="G6">
        <v>5</v>
      </c>
      <c r="H6">
        <v>21.02</v>
      </c>
      <c r="I6">
        <v>2509.6999999999998</v>
      </c>
      <c r="J6">
        <f t="shared" ref="J6:J69" si="3">I6-H6</f>
        <v>2488.6799999999998</v>
      </c>
      <c r="L6">
        <v>5</v>
      </c>
      <c r="M6">
        <v>20.98</v>
      </c>
      <c r="N6">
        <v>2510.5</v>
      </c>
      <c r="O6">
        <f t="shared" ref="O6:O69" si="4">N6-M6</f>
        <v>2489.52</v>
      </c>
    </row>
    <row r="7" spans="2:15">
      <c r="B7">
        <v>10</v>
      </c>
      <c r="C7">
        <f t="shared" si="0"/>
        <v>42.029982882496995</v>
      </c>
      <c r="D7">
        <f t="shared" si="2"/>
        <v>2519.2276095039806</v>
      </c>
      <c r="E7">
        <f t="shared" si="1"/>
        <v>2477.1976266214838</v>
      </c>
      <c r="G7">
        <v>10</v>
      </c>
      <c r="H7">
        <v>41.99</v>
      </c>
      <c r="I7">
        <v>2518.9</v>
      </c>
      <c r="J7">
        <f t="shared" si="3"/>
        <v>2476.9100000000003</v>
      </c>
      <c r="L7">
        <v>10</v>
      </c>
      <c r="M7">
        <v>41.99</v>
      </c>
      <c r="N7">
        <v>2519.6999999999998</v>
      </c>
      <c r="O7">
        <f t="shared" si="4"/>
        <v>2477.71</v>
      </c>
    </row>
    <row r="8" spans="2:15">
      <c r="B8">
        <v>15</v>
      </c>
      <c r="C8">
        <f t="shared" si="0"/>
        <v>62.984769836450205</v>
      </c>
      <c r="D8">
        <f t="shared" si="2"/>
        <v>2528.3498564163056</v>
      </c>
      <c r="E8">
        <f t="shared" si="1"/>
        <v>2465.3650865798554</v>
      </c>
      <c r="G8">
        <v>15</v>
      </c>
      <c r="H8">
        <v>62.92</v>
      </c>
      <c r="I8">
        <v>2528</v>
      </c>
      <c r="J8">
        <f t="shared" si="3"/>
        <v>2465.08</v>
      </c>
      <c r="L8">
        <v>15</v>
      </c>
      <c r="M8">
        <v>62.98</v>
      </c>
      <c r="N8">
        <v>2528.9</v>
      </c>
      <c r="O8">
        <f t="shared" si="4"/>
        <v>2465.92</v>
      </c>
    </row>
    <row r="9" spans="2:15">
      <c r="B9">
        <v>20</v>
      </c>
      <c r="C9">
        <f t="shared" si="0"/>
        <v>83.915596300808005</v>
      </c>
      <c r="D9">
        <f t="shared" si="2"/>
        <v>2537.4472545833537</v>
      </c>
      <c r="E9">
        <f t="shared" si="1"/>
        <v>2453.5316582825458</v>
      </c>
      <c r="G9">
        <v>20</v>
      </c>
      <c r="H9">
        <v>83.84</v>
      </c>
      <c r="I9">
        <v>2537.1999999999998</v>
      </c>
      <c r="J9">
        <f t="shared" si="3"/>
        <v>2453.3599999999997</v>
      </c>
      <c r="L9">
        <v>20</v>
      </c>
      <c r="M9">
        <v>83.94</v>
      </c>
      <c r="N9">
        <v>2538.1</v>
      </c>
      <c r="O9">
        <f t="shared" si="4"/>
        <v>2454.16</v>
      </c>
    </row>
    <row r="10" spans="2:15">
      <c r="B10">
        <v>25</v>
      </c>
      <c r="C10">
        <f t="shared" si="0"/>
        <v>104.83032774703322</v>
      </c>
      <c r="D10">
        <f t="shared" si="2"/>
        <v>2546.5166826069099</v>
      </c>
      <c r="E10">
        <f t="shared" si="1"/>
        <v>2441.6863548598767</v>
      </c>
      <c r="G10">
        <v>25</v>
      </c>
      <c r="H10">
        <v>104.75</v>
      </c>
      <c r="I10">
        <v>2546.3000000000002</v>
      </c>
      <c r="J10">
        <f t="shared" si="3"/>
        <v>2441.5500000000002</v>
      </c>
      <c r="L10">
        <v>25</v>
      </c>
      <c r="M10">
        <v>104.87</v>
      </c>
      <c r="N10">
        <v>2547.1999999999998</v>
      </c>
      <c r="O10">
        <f t="shared" si="4"/>
        <v>2442.33</v>
      </c>
    </row>
    <row r="11" spans="2:15">
      <c r="B11">
        <v>30</v>
      </c>
      <c r="C11">
        <f t="shared" si="0"/>
        <v>125.735296001313</v>
      </c>
      <c r="D11">
        <f t="shared" si="2"/>
        <v>2555.5544545643675</v>
      </c>
      <c r="E11">
        <f t="shared" si="1"/>
        <v>2429.8191585630543</v>
      </c>
      <c r="G11">
        <v>30</v>
      </c>
      <c r="H11">
        <v>125.67</v>
      </c>
      <c r="I11">
        <v>2555.3000000000002</v>
      </c>
      <c r="J11">
        <f t="shared" si="3"/>
        <v>2429.63</v>
      </c>
      <c r="L11">
        <v>30</v>
      </c>
      <c r="M11">
        <v>125.77</v>
      </c>
      <c r="N11">
        <v>2556.1999999999998</v>
      </c>
      <c r="O11">
        <f t="shared" si="4"/>
        <v>2430.4299999999998</v>
      </c>
    </row>
    <row r="12" spans="2:15">
      <c r="B12">
        <v>35</v>
      </c>
      <c r="C12">
        <f t="shared" si="0"/>
        <v>146.63558261128208</v>
      </c>
      <c r="D12">
        <f t="shared" si="2"/>
        <v>2564.5563553404954</v>
      </c>
      <c r="E12">
        <f t="shared" si="1"/>
        <v>2417.9207727292132</v>
      </c>
      <c r="G12">
        <v>35</v>
      </c>
      <c r="H12">
        <v>146.59</v>
      </c>
      <c r="I12">
        <v>2564.4</v>
      </c>
      <c r="J12">
        <f t="shared" si="3"/>
        <v>2417.81</v>
      </c>
      <c r="L12">
        <v>35</v>
      </c>
      <c r="M12">
        <v>146.66</v>
      </c>
      <c r="N12">
        <v>2565.3000000000002</v>
      </c>
      <c r="O12">
        <f t="shared" si="4"/>
        <v>2418.6400000000003</v>
      </c>
    </row>
    <row r="13" spans="2:15">
      <c r="B13">
        <v>40</v>
      </c>
      <c r="C13">
        <f t="shared" si="0"/>
        <v>167.53527827271199</v>
      </c>
      <c r="D13">
        <f t="shared" si="2"/>
        <v>2573.5176730415105</v>
      </c>
      <c r="E13">
        <f t="shared" si="1"/>
        <v>2405.9823947687987</v>
      </c>
      <c r="G13">
        <v>40</v>
      </c>
      <c r="H13">
        <v>167.5</v>
      </c>
      <c r="I13">
        <v>2573.4</v>
      </c>
      <c r="J13">
        <f t="shared" si="3"/>
        <v>2405.9</v>
      </c>
      <c r="L13">
        <v>40</v>
      </c>
      <c r="M13">
        <v>167.54</v>
      </c>
      <c r="N13">
        <v>2574.3000000000002</v>
      </c>
      <c r="O13">
        <f t="shared" si="4"/>
        <v>2406.7600000000002</v>
      </c>
    </row>
    <row r="14" spans="2:15">
      <c r="B14">
        <v>45</v>
      </c>
      <c r="C14">
        <f t="shared" si="0"/>
        <v>188.43771831616681</v>
      </c>
      <c r="D14">
        <f t="shared" si="2"/>
        <v>2582.4332284914626</v>
      </c>
      <c r="E14">
        <f t="shared" si="1"/>
        <v>2393.9955101752957</v>
      </c>
      <c r="G14">
        <v>45</v>
      </c>
      <c r="H14">
        <v>188.42</v>
      </c>
      <c r="I14">
        <v>2582.3000000000002</v>
      </c>
      <c r="J14">
        <f t="shared" si="3"/>
        <v>2393.88</v>
      </c>
      <c r="L14">
        <v>45</v>
      </c>
      <c r="M14">
        <v>188.42</v>
      </c>
      <c r="N14">
        <v>2583.1999999999998</v>
      </c>
      <c r="O14">
        <f t="shared" si="4"/>
        <v>2394.7799999999997</v>
      </c>
    </row>
    <row r="15" spans="2:15">
      <c r="B15">
        <v>50</v>
      </c>
      <c r="C15">
        <f t="shared" si="0"/>
        <v>209.345694253625</v>
      </c>
      <c r="D15">
        <f t="shared" si="2"/>
        <v>2591.2974018109371</v>
      </c>
      <c r="E15">
        <f t="shared" si="1"/>
        <v>2381.9517075573121</v>
      </c>
      <c r="G15">
        <v>50</v>
      </c>
      <c r="H15">
        <v>209.33</v>
      </c>
      <c r="I15">
        <v>2591.1999999999998</v>
      </c>
      <c r="J15">
        <f t="shared" si="3"/>
        <v>2381.87</v>
      </c>
      <c r="L15">
        <v>50</v>
      </c>
      <c r="M15">
        <v>209.31</v>
      </c>
      <c r="N15">
        <v>2592.1</v>
      </c>
      <c r="O15">
        <f t="shared" si="4"/>
        <v>2382.79</v>
      </c>
    </row>
    <row r="16" spans="2:15">
      <c r="B16">
        <v>55</v>
      </c>
      <c r="C16">
        <f t="shared" si="0"/>
        <v>230.26164138506746</v>
      </c>
      <c r="D16">
        <f t="shared" si="2"/>
        <v>2600.1041560780586</v>
      </c>
      <c r="E16">
        <f t="shared" si="1"/>
        <v>2369.8425146929912</v>
      </c>
      <c r="G16">
        <v>55</v>
      </c>
      <c r="H16">
        <v>230.24</v>
      </c>
      <c r="I16">
        <v>2600</v>
      </c>
      <c r="J16">
        <f t="shared" si="3"/>
        <v>2369.7600000000002</v>
      </c>
      <c r="L16">
        <v>55</v>
      </c>
      <c r="M16">
        <v>230.2</v>
      </c>
      <c r="N16">
        <v>2600.9</v>
      </c>
      <c r="O16">
        <f t="shared" si="4"/>
        <v>2370.7000000000003</v>
      </c>
    </row>
    <row r="17" spans="2:15">
      <c r="B17">
        <v>60</v>
      </c>
      <c r="C17">
        <f t="shared" si="0"/>
        <v>251.18780246503201</v>
      </c>
      <c r="D17">
        <f t="shared" si="2"/>
        <v>2608.847058071814</v>
      </c>
      <c r="E17">
        <f t="shared" si="1"/>
        <v>2357.6592556067822</v>
      </c>
      <c r="G17">
        <v>60</v>
      </c>
      <c r="H17">
        <v>251.15</v>
      </c>
      <c r="I17">
        <v>2608.8000000000002</v>
      </c>
      <c r="J17">
        <f t="shared" si="3"/>
        <v>2357.65</v>
      </c>
      <c r="L17">
        <v>60</v>
      </c>
      <c r="M17">
        <v>251.11</v>
      </c>
      <c r="N17">
        <v>2609.6</v>
      </c>
      <c r="O17">
        <f t="shared" si="4"/>
        <v>2358.4899999999998</v>
      </c>
    </row>
    <row r="18" spans="2:15">
      <c r="B18">
        <v>65</v>
      </c>
      <c r="C18">
        <f t="shared" si="0"/>
        <v>272.12636742913395</v>
      </c>
      <c r="D18">
        <f t="shared" si="2"/>
        <v>2617.5192960976865</v>
      </c>
      <c r="E18">
        <f t="shared" si="1"/>
        <v>2345.3929286685525</v>
      </c>
      <c r="G18">
        <v>65</v>
      </c>
      <c r="H18">
        <v>272.08</v>
      </c>
      <c r="I18">
        <v>2617.5</v>
      </c>
      <c r="J18">
        <f t="shared" si="3"/>
        <v>2345.42</v>
      </c>
      <c r="L18">
        <v>65</v>
      </c>
      <c r="M18">
        <v>272.02999999999997</v>
      </c>
      <c r="N18">
        <v>2618.1999999999998</v>
      </c>
      <c r="O18">
        <f t="shared" si="4"/>
        <v>2346.17</v>
      </c>
    </row>
    <row r="19" spans="2:15">
      <c r="B19">
        <v>70</v>
      </c>
      <c r="C19">
        <f t="shared" si="0"/>
        <v>293.07958918055294</v>
      </c>
      <c r="D19">
        <f t="shared" si="2"/>
        <v>2626.113694895595</v>
      </c>
      <c r="E19">
        <f t="shared" si="1"/>
        <v>2333.0341057150422</v>
      </c>
      <c r="G19">
        <v>70</v>
      </c>
      <c r="H19">
        <v>293.01</v>
      </c>
      <c r="I19">
        <v>2626.1</v>
      </c>
      <c r="J19">
        <f t="shared" si="3"/>
        <v>2333.09</v>
      </c>
      <c r="L19">
        <v>70</v>
      </c>
      <c r="M19">
        <v>292.95999999999998</v>
      </c>
      <c r="N19">
        <v>2626.8</v>
      </c>
      <c r="O19">
        <f t="shared" si="4"/>
        <v>2333.84</v>
      </c>
    </row>
    <row r="20" spans="2:15">
      <c r="B20">
        <v>75</v>
      </c>
      <c r="C20">
        <f t="shared" si="0"/>
        <v>314.04987543648627</v>
      </c>
      <c r="D20">
        <f t="shared" si="2"/>
        <v>2634.6227276301511</v>
      </c>
      <c r="E20">
        <f t="shared" si="1"/>
        <v>2320.5728521936649</v>
      </c>
      <c r="G20">
        <v>75</v>
      </c>
      <c r="H20">
        <v>313.95999999999998</v>
      </c>
      <c r="I20">
        <v>2634.6</v>
      </c>
      <c r="J20">
        <f t="shared" si="3"/>
        <v>2320.64</v>
      </c>
      <c r="L20">
        <v>75</v>
      </c>
      <c r="M20">
        <v>313.10000000000002</v>
      </c>
      <c r="N20">
        <v>2635.3</v>
      </c>
      <c r="O20">
        <f t="shared" si="4"/>
        <v>2322.2000000000003</v>
      </c>
    </row>
    <row r="21" spans="2:15">
      <c r="B21">
        <v>80</v>
      </c>
      <c r="C21">
        <f t="shared" si="0"/>
        <v>335.03985663456791</v>
      </c>
      <c r="D21">
        <f t="shared" si="2"/>
        <v>2643.0385249632254</v>
      </c>
      <c r="E21">
        <f t="shared" si="1"/>
        <v>2307.9986683286575</v>
      </c>
      <c r="G21">
        <v>80</v>
      </c>
      <c r="H21">
        <v>334.93</v>
      </c>
      <c r="I21">
        <v>2643.1</v>
      </c>
      <c r="J21">
        <f t="shared" si="3"/>
        <v>2308.17</v>
      </c>
      <c r="L21">
        <v>80</v>
      </c>
      <c r="M21">
        <v>334.88</v>
      </c>
      <c r="N21">
        <v>2643.7</v>
      </c>
      <c r="O21">
        <f t="shared" si="4"/>
        <v>2308.8199999999997</v>
      </c>
    </row>
    <row r="22" spans="2:15">
      <c r="B22">
        <v>85</v>
      </c>
      <c r="C22">
        <f t="shared" si="0"/>
        <v>356.05242989925461</v>
      </c>
      <c r="D22">
        <f t="shared" si="2"/>
        <v>2651.3528812088239</v>
      </c>
      <c r="E22">
        <f t="shared" si="1"/>
        <v>2295.3004513095693</v>
      </c>
      <c r="G22">
        <v>85</v>
      </c>
      <c r="H22">
        <v>355.92</v>
      </c>
      <c r="I22">
        <v>2651.4</v>
      </c>
      <c r="J22">
        <f t="shared" si="3"/>
        <v>2295.48</v>
      </c>
      <c r="L22">
        <v>85</v>
      </c>
      <c r="M22">
        <v>355.88</v>
      </c>
      <c r="N22">
        <v>2651.9</v>
      </c>
      <c r="O22">
        <f t="shared" si="4"/>
        <v>2296.02</v>
      </c>
    </row>
    <row r="23" spans="2:15">
      <c r="B23">
        <v>90</v>
      </c>
      <c r="C23">
        <f t="shared" si="0"/>
        <v>377.09077906817708</v>
      </c>
      <c r="D23">
        <f t="shared" si="2"/>
        <v>2659.5572575702768</v>
      </c>
      <c r="E23">
        <f t="shared" si="1"/>
        <v>2282.4664785020996</v>
      </c>
      <c r="G23">
        <v>90</v>
      </c>
      <c r="H23">
        <v>376.93</v>
      </c>
      <c r="I23">
        <v>2659.6</v>
      </c>
      <c r="J23">
        <f t="shared" si="3"/>
        <v>2282.67</v>
      </c>
      <c r="L23">
        <v>90</v>
      </c>
      <c r="M23">
        <v>376.9</v>
      </c>
      <c r="N23">
        <v>2660.1</v>
      </c>
      <c r="O23">
        <f t="shared" si="4"/>
        <v>2283.1999999999998</v>
      </c>
    </row>
    <row r="24" spans="2:15">
      <c r="B24">
        <v>95</v>
      </c>
      <c r="C24">
        <f t="shared" si="0"/>
        <v>398.15837077845862</v>
      </c>
      <c r="D24">
        <f t="shared" si="2"/>
        <v>2667.6427824597381</v>
      </c>
      <c r="E24">
        <f t="shared" si="1"/>
        <v>2269.4844116812797</v>
      </c>
      <c r="G24">
        <v>95</v>
      </c>
      <c r="H24">
        <v>397.98</v>
      </c>
      <c r="I24">
        <v>2667.7</v>
      </c>
      <c r="J24">
        <f t="shared" si="3"/>
        <v>2269.7199999999998</v>
      </c>
      <c r="L24">
        <v>95</v>
      </c>
      <c r="M24">
        <v>397.94</v>
      </c>
      <c r="N24">
        <v>2668.1</v>
      </c>
      <c r="O24">
        <f t="shared" si="4"/>
        <v>2270.16</v>
      </c>
    </row>
    <row r="25" spans="2:15">
      <c r="B25">
        <v>100</v>
      </c>
      <c r="C25">
        <f t="shared" si="0"/>
        <v>419.25892661300003</v>
      </c>
      <c r="D25">
        <f t="shared" si="2"/>
        <v>2675.6002488999998</v>
      </c>
      <c r="E25">
        <f t="shared" si="1"/>
        <v>2256.3413222869999</v>
      </c>
      <c r="G25">
        <v>100</v>
      </c>
      <c r="H25">
        <v>419.06</v>
      </c>
      <c r="I25">
        <v>2675.7</v>
      </c>
      <c r="J25">
        <f t="shared" si="3"/>
        <v>2256.64</v>
      </c>
      <c r="L25">
        <v>100</v>
      </c>
      <c r="M25">
        <v>419.02</v>
      </c>
      <c r="N25">
        <v>2676</v>
      </c>
      <c r="O25">
        <f t="shared" si="4"/>
        <v>2256.98</v>
      </c>
    </row>
    <row r="26" spans="2:15">
      <c r="B26">
        <v>105</v>
      </c>
      <c r="C26">
        <f t="shared" si="0"/>
        <v>440.39637130672872</v>
      </c>
      <c r="D26">
        <f t="shared" si="2"/>
        <v>2683.4201090086144</v>
      </c>
      <c r="E26">
        <f t="shared" si="1"/>
        <v>2243.0237377018857</v>
      </c>
      <c r="G26">
        <v>105</v>
      </c>
      <c r="H26">
        <v>440.18</v>
      </c>
      <c r="I26">
        <v>2683.6</v>
      </c>
      <c r="J26">
        <f t="shared" si="3"/>
        <v>2243.42</v>
      </c>
      <c r="L26">
        <v>105</v>
      </c>
      <c r="M26">
        <v>440.13</v>
      </c>
      <c r="N26">
        <v>2683.8</v>
      </c>
      <c r="O26">
        <f t="shared" si="4"/>
        <v>2243.67</v>
      </c>
    </row>
    <row r="27" spans="2:15">
      <c r="B27">
        <v>110</v>
      </c>
      <c r="C27">
        <f t="shared" si="0"/>
        <v>461.57475701281697</v>
      </c>
      <c r="D27">
        <f t="shared" si="2"/>
        <v>2691.0924655643244</v>
      </c>
      <c r="E27">
        <f t="shared" si="1"/>
        <v>2229.5177085515074</v>
      </c>
      <c r="G27">
        <v>110</v>
      </c>
      <c r="H27">
        <v>461.34</v>
      </c>
      <c r="I27">
        <v>2691.3</v>
      </c>
      <c r="J27">
        <f t="shared" si="3"/>
        <v>2229.96</v>
      </c>
      <c r="L27">
        <v>110</v>
      </c>
      <c r="M27">
        <v>461.27</v>
      </c>
      <c r="N27">
        <v>2691.5</v>
      </c>
      <c r="O27">
        <f t="shared" si="4"/>
        <v>2230.23</v>
      </c>
    </row>
    <row r="28" spans="2:15">
      <c r="B28">
        <v>115</v>
      </c>
      <c r="C28">
        <f t="shared" si="0"/>
        <v>482.79816362886459</v>
      </c>
      <c r="D28">
        <f t="shared" si="2"/>
        <v>2698.6070606558133</v>
      </c>
      <c r="E28">
        <f t="shared" si="1"/>
        <v>2215.8088970269487</v>
      </c>
      <c r="G28">
        <v>115</v>
      </c>
      <c r="H28">
        <v>482.54</v>
      </c>
      <c r="I28">
        <v>2698.8</v>
      </c>
      <c r="J28">
        <f t="shared" si="3"/>
        <v>2216.2600000000002</v>
      </c>
      <c r="L28">
        <v>115</v>
      </c>
      <c r="M28">
        <v>482.46</v>
      </c>
      <c r="N28">
        <v>2699</v>
      </c>
      <c r="O28">
        <f t="shared" si="4"/>
        <v>2216.54</v>
      </c>
    </row>
    <row r="29" spans="2:15">
      <c r="B29">
        <v>120</v>
      </c>
      <c r="C29">
        <f t="shared" si="0"/>
        <v>504.07057518304794</v>
      </c>
      <c r="D29">
        <f t="shared" si="2"/>
        <v>2705.9532614127611</v>
      </c>
      <c r="E29">
        <f t="shared" si="1"/>
        <v>2201.8826862297133</v>
      </c>
      <c r="G29">
        <v>120</v>
      </c>
      <c r="H29">
        <v>503.78</v>
      </c>
      <c r="I29">
        <v>2706.2</v>
      </c>
      <c r="J29">
        <f t="shared" si="3"/>
        <v>2202.42</v>
      </c>
      <c r="L29">
        <v>120</v>
      </c>
      <c r="M29">
        <v>503.69</v>
      </c>
      <c r="N29">
        <v>2706.3</v>
      </c>
      <c r="O29">
        <f t="shared" si="4"/>
        <v>2202.61</v>
      </c>
    </row>
    <row r="30" spans="2:15">
      <c r="B30">
        <v>125</v>
      </c>
      <c r="C30">
        <f t="shared" si="0"/>
        <v>525.3957322802363</v>
      </c>
      <c r="D30">
        <f t="shared" si="2"/>
        <v>2713.1200428192137</v>
      </c>
      <c r="E30">
        <f t="shared" si="1"/>
        <v>2187.7243105389775</v>
      </c>
      <c r="G30">
        <v>125</v>
      </c>
      <c r="H30">
        <v>525.07000000000005</v>
      </c>
      <c r="I30">
        <v>2713.4</v>
      </c>
      <c r="J30">
        <f t="shared" si="3"/>
        <v>2188.33</v>
      </c>
      <c r="L30">
        <v>125</v>
      </c>
      <c r="M30">
        <v>524.96</v>
      </c>
      <c r="N30">
        <v>2713.5</v>
      </c>
      <c r="O30">
        <f t="shared" si="4"/>
        <v>2188.54</v>
      </c>
    </row>
    <row r="31" spans="2:15">
      <c r="B31">
        <v>130</v>
      </c>
      <c r="C31">
        <f t="shared" si="0"/>
        <v>546.77696060807295</v>
      </c>
      <c r="D31">
        <f t="shared" si="2"/>
        <v>2720.0959676092589</v>
      </c>
      <c r="E31">
        <f t="shared" si="1"/>
        <v>2173.319007001186</v>
      </c>
      <c r="G31">
        <v>130</v>
      </c>
      <c r="H31">
        <v>546.41</v>
      </c>
      <c r="I31">
        <v>2720.4</v>
      </c>
      <c r="J31">
        <f t="shared" si="3"/>
        <v>2173.9900000000002</v>
      </c>
      <c r="L31">
        <v>130</v>
      </c>
      <c r="M31">
        <v>546.29</v>
      </c>
      <c r="N31">
        <v>2720.5</v>
      </c>
      <c r="O31">
        <f t="shared" si="4"/>
        <v>2174.21</v>
      </c>
    </row>
    <row r="32" spans="2:15">
      <c r="B32">
        <v>135</v>
      </c>
      <c r="C32">
        <f t="shared" si="0"/>
        <v>568.21697550302395</v>
      </c>
      <c r="D32">
        <f t="shared" si="2"/>
        <v>2726.8691632450227</v>
      </c>
      <c r="E32">
        <f t="shared" si="1"/>
        <v>2158.6521877419987</v>
      </c>
      <c r="G32">
        <v>135</v>
      </c>
      <c r="H32">
        <v>567.79999999999995</v>
      </c>
      <c r="I32">
        <v>2727.2</v>
      </c>
      <c r="J32">
        <f t="shared" si="3"/>
        <v>2159.3999999999996</v>
      </c>
      <c r="L32">
        <v>135</v>
      </c>
      <c r="M32">
        <v>567.66999999999996</v>
      </c>
      <c r="N32">
        <v>2727.3</v>
      </c>
      <c r="O32">
        <f t="shared" si="4"/>
        <v>2159.63</v>
      </c>
    </row>
    <row r="33" spans="2:15">
      <c r="B33">
        <v>140</v>
      </c>
      <c r="C33">
        <f t="shared" si="0"/>
        <v>589.71766257639206</v>
      </c>
      <c r="D33">
        <f t="shared" si="2"/>
        <v>2733.427295976966</v>
      </c>
      <c r="E33">
        <f t="shared" si="1"/>
        <v>2143.7096334005737</v>
      </c>
      <c r="G33">
        <v>140</v>
      </c>
      <c r="H33">
        <v>589.24</v>
      </c>
      <c r="I33">
        <v>2733.8</v>
      </c>
      <c r="J33">
        <f t="shared" si="3"/>
        <v>2144.5600000000004</v>
      </c>
      <c r="L33">
        <v>140</v>
      </c>
      <c r="M33">
        <v>589.11</v>
      </c>
      <c r="N33">
        <v>2733.9</v>
      </c>
      <c r="O33">
        <f t="shared" si="4"/>
        <v>2144.79</v>
      </c>
    </row>
    <row r="34" spans="2:15">
      <c r="B34">
        <v>145</v>
      </c>
      <c r="C34">
        <f t="shared" si="0"/>
        <v>611.27983440029743</v>
      </c>
      <c r="D34">
        <f t="shared" si="2"/>
        <v>2739.7575419865066</v>
      </c>
      <c r="E34">
        <f t="shared" si="1"/>
        <v>2128.4777075862094</v>
      </c>
      <c r="G34">
        <v>145</v>
      </c>
      <c r="H34">
        <v>610.75</v>
      </c>
      <c r="I34">
        <v>2740.2</v>
      </c>
      <c r="J34">
        <f t="shared" si="3"/>
        <v>2129.4499999999998</v>
      </c>
      <c r="L34">
        <v>145</v>
      </c>
      <c r="M34">
        <v>610.61</v>
      </c>
      <c r="N34">
        <v>2740.3</v>
      </c>
      <c r="O34">
        <f t="shared" si="4"/>
        <v>2129.69</v>
      </c>
    </row>
    <row r="35" spans="2:15">
      <c r="B35">
        <v>150</v>
      </c>
      <c r="C35">
        <f t="shared" si="0"/>
        <v>632.9029632536251</v>
      </c>
      <c r="D35">
        <f t="shared" si="2"/>
        <v>2745.8465556109372</v>
      </c>
      <c r="E35">
        <f t="shared" si="1"/>
        <v>2112.9435923573119</v>
      </c>
      <c r="G35">
        <v>150</v>
      </c>
      <c r="H35">
        <v>632.32000000000005</v>
      </c>
      <c r="I35">
        <v>2746.4</v>
      </c>
      <c r="J35">
        <f t="shared" si="3"/>
        <v>2114.08</v>
      </c>
      <c r="L35">
        <v>150</v>
      </c>
      <c r="M35">
        <v>632.17999999999995</v>
      </c>
      <c r="N35">
        <v>2746.4</v>
      </c>
      <c r="O35">
        <f t="shared" si="4"/>
        <v>2114.2200000000003</v>
      </c>
    </row>
    <row r="36" spans="2:15">
      <c r="B36">
        <v>155</v>
      </c>
      <c r="C36">
        <f t="shared" si="0"/>
        <v>654.58488992793684</v>
      </c>
      <c r="D36">
        <f t="shared" si="2"/>
        <v>2751.6804346506647</v>
      </c>
      <c r="E36">
        <f t="shared" si="1"/>
        <v>2097.0955447227279</v>
      </c>
      <c r="G36">
        <v>155</v>
      </c>
      <c r="H36">
        <v>653.95000000000005</v>
      </c>
      <c r="I36">
        <v>2752.3</v>
      </c>
      <c r="J36">
        <f t="shared" si="3"/>
        <v>2098.3500000000004</v>
      </c>
      <c r="L36">
        <v>155</v>
      </c>
      <c r="M36">
        <v>653.82000000000005</v>
      </c>
      <c r="N36">
        <v>2752.4</v>
      </c>
      <c r="O36">
        <f t="shared" si="4"/>
        <v>2098.58</v>
      </c>
    </row>
    <row r="37" spans="2:15">
      <c r="B37">
        <v>160</v>
      </c>
      <c r="C37">
        <f t="shared" ref="C37:C68" si="5" xml:space="preserve"> 0.007529613 + 4.212269 * B37 - 0.001194192 * B37 ^ 2 + 0.00002101532 * B37 ^ 3 - 0.0000001935015 * B37 ^ 4 + 0.000000001042925 * B37 ^ 5 - 2.128003 * 10 ^ -12 * B37 ^ 6</f>
        <v>676.32150859335206</v>
      </c>
      <c r="D37">
        <f t="shared" si="2"/>
        <v>2757.2446827587587</v>
      </c>
      <c r="E37">
        <f t="shared" ref="E37:E68" si="6">D37-C37</f>
        <v>2080.9231741654066</v>
      </c>
      <c r="G37">
        <v>160</v>
      </c>
      <c r="H37">
        <v>675.65</v>
      </c>
      <c r="I37">
        <v>2758</v>
      </c>
      <c r="J37">
        <f t="shared" si="3"/>
        <v>2082.35</v>
      </c>
      <c r="L37">
        <v>160</v>
      </c>
      <c r="M37">
        <v>675.53</v>
      </c>
      <c r="N37">
        <v>2758.1</v>
      </c>
      <c r="O37">
        <f t="shared" si="4"/>
        <v>2082.5699999999997</v>
      </c>
    </row>
    <row r="38" spans="2:15">
      <c r="B38">
        <v>165</v>
      </c>
      <c r="C38">
        <f t="shared" si="5"/>
        <v>698.10642772439223</v>
      </c>
      <c r="D38">
        <f t="shared" si="2"/>
        <v>2762.5241689128097</v>
      </c>
      <c r="E38">
        <f t="shared" si="6"/>
        <v>2064.4177411884175</v>
      </c>
      <c r="G38">
        <v>165</v>
      </c>
      <c r="H38">
        <v>697.43</v>
      </c>
      <c r="I38">
        <v>2763.3</v>
      </c>
      <c r="J38">
        <f t="shared" si="3"/>
        <v>2065.8700000000003</v>
      </c>
      <c r="L38">
        <v>165</v>
      </c>
      <c r="M38">
        <v>697.32</v>
      </c>
      <c r="N38">
        <v>2763.5</v>
      </c>
      <c r="O38">
        <f t="shared" si="4"/>
        <v>2066.1799999999998</v>
      </c>
    </row>
    <row r="39" spans="2:15">
      <c r="B39">
        <v>170</v>
      </c>
      <c r="C39">
        <f t="shared" si="5"/>
        <v>719.9306070857931</v>
      </c>
      <c r="D39">
        <f t="shared" si="2"/>
        <v>2767.503083969103</v>
      </c>
      <c r="E39">
        <f t="shared" si="6"/>
        <v>2047.5724768833099</v>
      </c>
      <c r="G39">
        <v>170</v>
      </c>
      <c r="H39">
        <v>719.28</v>
      </c>
      <c r="I39">
        <v>2768.5</v>
      </c>
      <c r="J39">
        <f t="shared" si="3"/>
        <v>2049.2200000000003</v>
      </c>
      <c r="L39">
        <v>170</v>
      </c>
      <c r="M39">
        <v>719.2</v>
      </c>
      <c r="N39">
        <v>2768.7</v>
      </c>
      <c r="O39">
        <f t="shared" si="4"/>
        <v>2049.5</v>
      </c>
    </row>
    <row r="40" spans="2:15">
      <c r="B40">
        <v>175</v>
      </c>
      <c r="C40">
        <f t="shared" si="5"/>
        <v>741.78197077828304</v>
      </c>
      <c r="D40">
        <f t="shared" si="2"/>
        <v>2772.1648942990969</v>
      </c>
      <c r="E40">
        <f t="shared" si="6"/>
        <v>2030.3829235208138</v>
      </c>
      <c r="G40">
        <v>175</v>
      </c>
      <c r="H40">
        <v>741.22</v>
      </c>
      <c r="I40">
        <v>2773.3</v>
      </c>
      <c r="J40">
        <f t="shared" si="3"/>
        <v>2032.0800000000002</v>
      </c>
      <c r="L40">
        <v>175</v>
      </c>
      <c r="M40">
        <v>741.16</v>
      </c>
      <c r="N40">
        <v>2773.6</v>
      </c>
      <c r="O40">
        <f t="shared" si="4"/>
        <v>2032.44</v>
      </c>
    </row>
    <row r="41" spans="2:15">
      <c r="B41">
        <v>180</v>
      </c>
      <c r="C41">
        <f t="shared" si="5"/>
        <v>763.64499634432821</v>
      </c>
      <c r="D41">
        <f t="shared" si="2"/>
        <v>2776.4922925082178</v>
      </c>
      <c r="E41">
        <f t="shared" si="6"/>
        <v>2012.8472961638895</v>
      </c>
      <c r="G41">
        <v>180</v>
      </c>
      <c r="H41">
        <v>763.25</v>
      </c>
      <c r="I41">
        <v>2777.8</v>
      </c>
      <c r="J41">
        <f t="shared" si="3"/>
        <v>2014.5500000000002</v>
      </c>
      <c r="L41">
        <v>180</v>
      </c>
      <c r="M41">
        <v>763.21</v>
      </c>
      <c r="N41">
        <v>2778.2</v>
      </c>
      <c r="O41">
        <f t="shared" si="4"/>
        <v>2014.9899999999998</v>
      </c>
    </row>
    <row r="42" spans="2:15">
      <c r="B42">
        <v>185</v>
      </c>
      <c r="C42">
        <f t="shared" si="5"/>
        <v>785.50027993384026</v>
      </c>
      <c r="D42">
        <f t="shared" si="2"/>
        <v>2780.4671452369662</v>
      </c>
      <c r="E42">
        <f t="shared" si="6"/>
        <v>1994.9668653031258</v>
      </c>
      <c r="G42">
        <v>185</v>
      </c>
      <c r="H42">
        <v>785.37</v>
      </c>
      <c r="I42">
        <v>2782</v>
      </c>
      <c r="J42">
        <f t="shared" si="3"/>
        <v>1996.63</v>
      </c>
      <c r="L42">
        <v>185</v>
      </c>
      <c r="M42">
        <v>785.36</v>
      </c>
      <c r="N42">
        <v>2782.4</v>
      </c>
      <c r="O42">
        <f t="shared" si="4"/>
        <v>1997.04</v>
      </c>
    </row>
    <row r="43" spans="2:15">
      <c r="B43">
        <v>190</v>
      </c>
      <c r="C43">
        <f t="shared" si="5"/>
        <v>807.32407752985682</v>
      </c>
      <c r="D43">
        <f t="shared" si="2"/>
        <v>2784.0704380443317</v>
      </c>
      <c r="E43">
        <f t="shared" si="6"/>
        <v>1976.7463605144749</v>
      </c>
      <c r="G43">
        <v>190</v>
      </c>
      <c r="H43">
        <v>807.6</v>
      </c>
      <c r="I43">
        <v>2785.8</v>
      </c>
      <c r="J43">
        <f t="shared" si="3"/>
        <v>1978.2000000000003</v>
      </c>
      <c r="L43">
        <v>190</v>
      </c>
      <c r="M43">
        <v>807.61</v>
      </c>
      <c r="N43">
        <v>2786.4</v>
      </c>
      <c r="O43">
        <f t="shared" si="4"/>
        <v>1978.79</v>
      </c>
    </row>
    <row r="44" spans="2:15">
      <c r="B44">
        <v>195</v>
      </c>
      <c r="C44">
        <f t="shared" si="5"/>
        <v>829.08782223418314</v>
      </c>
      <c r="D44">
        <f t="shared" si="2"/>
        <v>2787.2822173735221</v>
      </c>
      <c r="E44">
        <f t="shared" si="6"/>
        <v>1958.1943951393391</v>
      </c>
      <c r="G44">
        <v>195</v>
      </c>
      <c r="H44">
        <v>829.93</v>
      </c>
      <c r="I44">
        <v>2789.4</v>
      </c>
      <c r="J44">
        <f t="shared" si="3"/>
        <v>1959.4700000000003</v>
      </c>
      <c r="L44">
        <v>195</v>
      </c>
      <c r="M44">
        <v>829.96</v>
      </c>
      <c r="N44">
        <v>2790</v>
      </c>
      <c r="O44">
        <f t="shared" si="4"/>
        <v>1960.04</v>
      </c>
    </row>
    <row r="45" spans="2:15">
      <c r="B45">
        <v>200</v>
      </c>
      <c r="C45">
        <f t="shared" si="5"/>
        <v>850.75761761300009</v>
      </c>
      <c r="D45">
        <f t="shared" si="2"/>
        <v>2790.0815296000005</v>
      </c>
      <c r="E45">
        <f t="shared" si="6"/>
        <v>1939.3239119870004</v>
      </c>
      <c r="G45">
        <v>220</v>
      </c>
      <c r="H45">
        <v>943.51</v>
      </c>
      <c r="I45">
        <v>2801.3</v>
      </c>
      <c r="J45">
        <f t="shared" si="3"/>
        <v>1857.7900000000002</v>
      </c>
      <c r="L45">
        <v>200</v>
      </c>
      <c r="M45">
        <v>852.43</v>
      </c>
      <c r="N45">
        <v>2793.2</v>
      </c>
      <c r="O45">
        <f t="shared" si="4"/>
        <v>1940.77</v>
      </c>
    </row>
    <row r="46" spans="2:15">
      <c r="B46">
        <v>205</v>
      </c>
      <c r="C46">
        <f t="shared" si="5"/>
        <v>872.29370710244189</v>
      </c>
      <c r="D46">
        <f t="shared" si="2"/>
        <v>2792.4463571618353</v>
      </c>
      <c r="E46">
        <f t="shared" si="6"/>
        <v>1920.1526500593934</v>
      </c>
      <c r="G46">
        <v>225</v>
      </c>
      <c r="H46">
        <v>966.67</v>
      </c>
      <c r="I46">
        <v>2802.4</v>
      </c>
      <c r="J46">
        <f t="shared" si="3"/>
        <v>1835.73</v>
      </c>
      <c r="L46">
        <v>205</v>
      </c>
      <c r="M46">
        <v>875.03</v>
      </c>
      <c r="N46">
        <v>2796</v>
      </c>
      <c r="O46">
        <f t="shared" si="4"/>
        <v>1920.97</v>
      </c>
    </row>
    <row r="47" spans="2:15">
      <c r="B47">
        <v>210</v>
      </c>
      <c r="C47">
        <f t="shared" si="5"/>
        <v>893.64991947413705</v>
      </c>
      <c r="D47">
        <f t="shared" si="2"/>
        <v>2794.3535517723676</v>
      </c>
      <c r="E47">
        <f t="shared" si="6"/>
        <v>1900.7036322982306</v>
      </c>
      <c r="G47">
        <v>230</v>
      </c>
      <c r="H47">
        <v>990</v>
      </c>
      <c r="I47">
        <v>2803.1</v>
      </c>
      <c r="J47">
        <f t="shared" si="3"/>
        <v>1813.1</v>
      </c>
      <c r="L47">
        <v>210</v>
      </c>
      <c r="M47">
        <v>897.75</v>
      </c>
      <c r="N47">
        <v>2798.5</v>
      </c>
      <c r="O47">
        <f t="shared" si="4"/>
        <v>1900.75</v>
      </c>
    </row>
    <row r="48" spans="2:15">
      <c r="B48">
        <v>215</v>
      </c>
      <c r="C48">
        <f t="shared" si="5"/>
        <v>914.77309036071654</v>
      </c>
      <c r="D48">
        <f t="shared" si="2"/>
        <v>2795.7787647151777</v>
      </c>
      <c r="E48">
        <f t="shared" si="6"/>
        <v>1881.005674354461</v>
      </c>
      <c r="G48">
        <v>235</v>
      </c>
      <c r="H48">
        <v>1013.52</v>
      </c>
      <c r="I48">
        <v>2803.3</v>
      </c>
      <c r="J48">
        <f t="shared" si="3"/>
        <v>1789.7800000000002</v>
      </c>
      <c r="L48">
        <v>215</v>
      </c>
      <c r="M48">
        <v>920.61</v>
      </c>
      <c r="N48">
        <v>2800.5</v>
      </c>
      <c r="O48">
        <f t="shared" si="4"/>
        <v>1879.8899999999999</v>
      </c>
    </row>
    <row r="49" spans="2:15">
      <c r="B49">
        <v>220</v>
      </c>
      <c r="C49">
        <f t="shared" si="5"/>
        <v>935.6024598412879</v>
      </c>
      <c r="D49">
        <f t="shared" si="2"/>
        <v>2796.6963742213698</v>
      </c>
      <c r="E49">
        <f t="shared" si="6"/>
        <v>1861.093914380082</v>
      </c>
      <c r="G49">
        <v>240</v>
      </c>
      <c r="H49">
        <v>1037.24</v>
      </c>
      <c r="I49">
        <v>2803</v>
      </c>
      <c r="J49">
        <f t="shared" si="3"/>
        <v>1765.76</v>
      </c>
      <c r="L49">
        <v>220</v>
      </c>
      <c r="M49">
        <v>943.61</v>
      </c>
      <c r="N49">
        <v>2802.1</v>
      </c>
      <c r="O49">
        <f t="shared" si="4"/>
        <v>1858.4899999999998</v>
      </c>
    </row>
    <row r="50" spans="2:15">
      <c r="B50">
        <v>225</v>
      </c>
      <c r="C50">
        <f t="shared" si="5"/>
        <v>956.06904608687705</v>
      </c>
      <c r="D50">
        <f t="shared" si="2"/>
        <v>2797.0794099291747</v>
      </c>
      <c r="E50">
        <f t="shared" si="6"/>
        <v>1841.0103638422977</v>
      </c>
      <c r="G50">
        <v>245</v>
      </c>
      <c r="H50">
        <v>1061.1600000000001</v>
      </c>
      <c r="I50">
        <v>2802.1</v>
      </c>
      <c r="J50">
        <f t="shared" si="3"/>
        <v>1740.9399999999998</v>
      </c>
      <c r="L50">
        <v>225</v>
      </c>
      <c r="M50">
        <v>966.77</v>
      </c>
      <c r="N50">
        <v>2803.3</v>
      </c>
      <c r="O50">
        <f t="shared" si="4"/>
        <v>1836.5300000000002</v>
      </c>
    </row>
    <row r="51" spans="2:15">
      <c r="B51">
        <v>230</v>
      </c>
      <c r="C51">
        <f t="shared" si="5"/>
        <v>976.09499506583302</v>
      </c>
      <c r="D51">
        <f t="shared" si="2"/>
        <v>2796.8994744258512</v>
      </c>
      <c r="E51">
        <f t="shared" si="6"/>
        <v>1820.8044793600181</v>
      </c>
      <c r="G51">
        <v>250</v>
      </c>
      <c r="H51">
        <v>1085.32</v>
      </c>
      <c r="I51">
        <v>2800.7</v>
      </c>
      <c r="J51">
        <f t="shared" si="3"/>
        <v>1715.3799999999999</v>
      </c>
      <c r="L51">
        <v>230</v>
      </c>
      <c r="M51">
        <v>990.1</v>
      </c>
      <c r="N51">
        <v>2803.9</v>
      </c>
      <c r="O51">
        <f t="shared" si="4"/>
        <v>1813.8000000000002</v>
      </c>
    </row>
    <row r="52" spans="2:15">
      <c r="B52">
        <v>235</v>
      </c>
      <c r="C52">
        <f t="shared" si="5"/>
        <v>995.5929063092035</v>
      </c>
      <c r="D52">
        <f t="shared" si="2"/>
        <v>2796.1266618719055</v>
      </c>
      <c r="E52">
        <f t="shared" si="6"/>
        <v>1800.533755562702</v>
      </c>
      <c r="G52">
        <v>255</v>
      </c>
      <c r="H52">
        <v>1109.72</v>
      </c>
      <c r="I52">
        <v>2798.8</v>
      </c>
      <c r="J52">
        <f t="shared" si="3"/>
        <v>1689.0800000000002</v>
      </c>
      <c r="L52">
        <v>235</v>
      </c>
      <c r="M52">
        <v>1013.61</v>
      </c>
      <c r="N52">
        <v>2804.1</v>
      </c>
      <c r="O52">
        <f t="shared" si="4"/>
        <v>1790.4899999999998</v>
      </c>
    </row>
    <row r="53" spans="2:15">
      <c r="B53">
        <v>240</v>
      </c>
      <c r="C53">
        <f t="shared" si="5"/>
        <v>1014.4651347360722</v>
      </c>
      <c r="D53">
        <f t="shared" si="2"/>
        <v>2794.7294737076222</v>
      </c>
      <c r="E53">
        <f t="shared" si="6"/>
        <v>1780.2643389715499</v>
      </c>
      <c r="G53">
        <v>260</v>
      </c>
      <c r="H53">
        <v>1134.3800000000001</v>
      </c>
      <c r="I53">
        <v>2796.2</v>
      </c>
      <c r="J53">
        <f t="shared" si="3"/>
        <v>1661.8199999999997</v>
      </c>
      <c r="L53">
        <v>240</v>
      </c>
      <c r="M53">
        <v>1037.31</v>
      </c>
      <c r="N53">
        <v>2803.8</v>
      </c>
      <c r="O53">
        <f t="shared" si="4"/>
        <v>1766.4900000000002</v>
      </c>
    </row>
    <row r="54" spans="2:15">
      <c r="B54">
        <v>245</v>
      </c>
      <c r="C54">
        <f t="shared" si="5"/>
        <v>1032.603068538866</v>
      </c>
      <c r="D54">
        <f t="shared" si="2"/>
        <v>2792.6747314419072</v>
      </c>
      <c r="E54">
        <f t="shared" si="6"/>
        <v>1760.0716629030412</v>
      </c>
      <c r="G54">
        <v>265</v>
      </c>
      <c r="H54">
        <v>1159.32</v>
      </c>
      <c r="I54">
        <v>2793</v>
      </c>
      <c r="J54">
        <f t="shared" si="3"/>
        <v>1633.68</v>
      </c>
      <c r="L54">
        <v>245</v>
      </c>
      <c r="M54">
        <v>1061.21</v>
      </c>
      <c r="N54">
        <v>2802.9</v>
      </c>
      <c r="O54">
        <f t="shared" si="4"/>
        <v>1741.69</v>
      </c>
    </row>
    <row r="55" spans="2:15">
      <c r="B55">
        <v>250</v>
      </c>
      <c r="C55">
        <f t="shared" si="5"/>
        <v>1049.8863831286253</v>
      </c>
      <c r="D55">
        <f t="shared" si="2"/>
        <v>2789.9274865234374</v>
      </c>
      <c r="E55">
        <f t="shared" si="6"/>
        <v>1740.0411033948121</v>
      </c>
      <c r="G55">
        <v>270</v>
      </c>
      <c r="H55">
        <v>1184.57</v>
      </c>
      <c r="I55">
        <v>2789.1</v>
      </c>
      <c r="J55">
        <f t="shared" si="3"/>
        <v>1604.53</v>
      </c>
      <c r="L55">
        <v>250</v>
      </c>
      <c r="M55">
        <v>1085.3399999999999</v>
      </c>
      <c r="N55">
        <v>2801.5</v>
      </c>
      <c r="O55">
        <f t="shared" si="4"/>
        <v>1716.16</v>
      </c>
    </row>
    <row r="56" spans="2:15">
      <c r="B56">
        <v>255</v>
      </c>
      <c r="C56">
        <f t="shared" si="5"/>
        <v>1066.1822711402438</v>
      </c>
      <c r="D56">
        <f t="shared" si="2"/>
        <v>2786.4509272941273</v>
      </c>
      <c r="E56">
        <f t="shared" si="6"/>
        <v>1720.2686561538835</v>
      </c>
      <c r="G56">
        <v>275</v>
      </c>
      <c r="H56">
        <v>1210.1500000000001</v>
      </c>
      <c r="I56">
        <v>2784.5</v>
      </c>
      <c r="J56">
        <f t="shared" si="3"/>
        <v>1574.35</v>
      </c>
      <c r="L56">
        <v>255</v>
      </c>
      <c r="M56">
        <v>1109.72</v>
      </c>
      <c r="N56">
        <v>2799.5</v>
      </c>
      <c r="O56">
        <f t="shared" si="4"/>
        <v>1689.78</v>
      </c>
    </row>
    <row r="57" spans="2:15">
      <c r="B57">
        <v>260</v>
      </c>
      <c r="C57">
        <f t="shared" si="5"/>
        <v>1081.3446484976721</v>
      </c>
      <c r="D57">
        <f t="shared" si="2"/>
        <v>2782.2062830249024</v>
      </c>
      <c r="E57">
        <f t="shared" si="6"/>
        <v>1700.8616345272303</v>
      </c>
      <c r="G57">
        <v>280</v>
      </c>
      <c r="H57">
        <v>1236.08</v>
      </c>
      <c r="I57">
        <v>2779.2</v>
      </c>
      <c r="J57">
        <f t="shared" si="3"/>
        <v>1543.12</v>
      </c>
      <c r="L57">
        <v>260</v>
      </c>
      <c r="M57">
        <v>1134.3499999999999</v>
      </c>
      <c r="N57">
        <v>2796.9</v>
      </c>
      <c r="O57">
        <f t="shared" si="4"/>
        <v>1662.5500000000002</v>
      </c>
    </row>
    <row r="58" spans="2:15">
      <c r="B58">
        <v>265</v>
      </c>
      <c r="C58">
        <f t="shared" si="5"/>
        <v>1095.2133365390882</v>
      </c>
      <c r="D58">
        <f t="shared" si="2"/>
        <v>2777.1527250337904</v>
      </c>
      <c r="E58">
        <f t="shared" si="6"/>
        <v>1681.9393884947021</v>
      </c>
      <c r="G58">
        <v>285</v>
      </c>
      <c r="H58">
        <v>1262.4000000000001</v>
      </c>
      <c r="I58">
        <v>2773</v>
      </c>
      <c r="J58">
        <f t="shared" si="3"/>
        <v>1510.6</v>
      </c>
      <c r="L58">
        <v>265</v>
      </c>
      <c r="M58">
        <v>1159.27</v>
      </c>
      <c r="N58">
        <v>2793.6</v>
      </c>
      <c r="O58">
        <f t="shared" si="4"/>
        <v>1634.33</v>
      </c>
    </row>
    <row r="59" spans="2:15">
      <c r="B59">
        <v>270</v>
      </c>
      <c r="C59">
        <f t="shared" si="5"/>
        <v>1107.6132202020331</v>
      </c>
      <c r="D59">
        <f t="shared" si="2"/>
        <v>2771.2472648863113</v>
      </c>
      <c r="E59">
        <f t="shared" si="6"/>
        <v>1663.6340446842783</v>
      </c>
      <c r="G59">
        <v>290</v>
      </c>
      <c r="H59">
        <v>1289.1400000000001</v>
      </c>
      <c r="I59">
        <v>2765.9</v>
      </c>
      <c r="J59">
        <f t="shared" si="3"/>
        <v>1476.76</v>
      </c>
      <c r="L59">
        <v>270</v>
      </c>
      <c r="M59">
        <v>1184.49</v>
      </c>
      <c r="N59">
        <v>2789.7</v>
      </c>
      <c r="O59">
        <f t="shared" si="4"/>
        <v>1605.2099999999998</v>
      </c>
    </row>
    <row r="60" spans="2:15">
      <c r="B60">
        <v>275</v>
      </c>
      <c r="C60">
        <f t="shared" si="5"/>
        <v>1118.3533822685179</v>
      </c>
      <c r="D60">
        <f t="shared" si="2"/>
        <v>2764.4446496781984</v>
      </c>
      <c r="E60">
        <f t="shared" si="6"/>
        <v>1646.0912674096805</v>
      </c>
      <c r="G60">
        <v>295</v>
      </c>
      <c r="H60">
        <v>1316.34</v>
      </c>
      <c r="I60">
        <v>2757.8</v>
      </c>
      <c r="J60">
        <f t="shared" si="3"/>
        <v>1441.4600000000003</v>
      </c>
      <c r="L60">
        <v>275</v>
      </c>
      <c r="M60">
        <v>1210.05</v>
      </c>
      <c r="N60">
        <v>2785</v>
      </c>
      <c r="O60">
        <f t="shared" si="4"/>
        <v>1574.95</v>
      </c>
    </row>
    <row r="61" spans="2:15">
      <c r="B61">
        <v>280</v>
      </c>
      <c r="C61">
        <f t="shared" si="5"/>
        <v>1127.2262136700883</v>
      </c>
      <c r="D61">
        <f t="shared" si="2"/>
        <v>2756.6972544004097</v>
      </c>
      <c r="E61">
        <f t="shared" si="6"/>
        <v>1629.4710407303214</v>
      </c>
      <c r="G61">
        <v>300</v>
      </c>
      <c r="H61">
        <v>1344.05</v>
      </c>
      <c r="I61">
        <v>2748.7</v>
      </c>
      <c r="J61">
        <f t="shared" si="3"/>
        <v>1404.6499999999999</v>
      </c>
      <c r="L61">
        <v>280</v>
      </c>
      <c r="M61">
        <v>1235.97</v>
      </c>
      <c r="N61">
        <v>2779.5</v>
      </c>
      <c r="O61">
        <f t="shared" si="4"/>
        <v>1543.53</v>
      </c>
    </row>
    <row r="62" spans="2:15">
      <c r="B62">
        <v>285</v>
      </c>
      <c r="C62">
        <f t="shared" si="5"/>
        <v>1134.006499852864</v>
      </c>
      <c r="D62">
        <f t="shared" si="2"/>
        <v>2747.9549713864653</v>
      </c>
      <c r="E62">
        <f t="shared" si="6"/>
        <v>1613.9484715336014</v>
      </c>
      <c r="G62">
        <v>305</v>
      </c>
      <c r="H62">
        <v>1372.33</v>
      </c>
      <c r="I62">
        <v>2738.5</v>
      </c>
      <c r="J62">
        <f t="shared" si="3"/>
        <v>1366.17</v>
      </c>
      <c r="L62">
        <v>285</v>
      </c>
      <c r="M62">
        <v>1262.29</v>
      </c>
      <c r="N62">
        <v>2773.3</v>
      </c>
      <c r="O62">
        <f t="shared" si="4"/>
        <v>1511.0100000000002</v>
      </c>
    </row>
    <row r="63" spans="2:15">
      <c r="B63">
        <v>290</v>
      </c>
      <c r="C63">
        <f t="shared" si="5"/>
        <v>1138.4504832025368</v>
      </c>
      <c r="D63">
        <f t="shared" si="2"/>
        <v>2738.1650968420881</v>
      </c>
      <c r="E63">
        <f t="shared" si="6"/>
        <v>1599.7146136395513</v>
      </c>
      <c r="G63">
        <v>310</v>
      </c>
      <c r="H63">
        <v>1401.23</v>
      </c>
      <c r="I63">
        <v>2727</v>
      </c>
      <c r="J63">
        <f t="shared" si="3"/>
        <v>1325.77</v>
      </c>
      <c r="L63">
        <v>290</v>
      </c>
      <c r="M63">
        <v>1289.04</v>
      </c>
      <c r="N63">
        <v>2766.1</v>
      </c>
      <c r="O63">
        <f t="shared" si="4"/>
        <v>1477.06</v>
      </c>
    </row>
    <row r="64" spans="2:15">
      <c r="B64">
        <v>295</v>
      </c>
      <c r="C64">
        <f t="shared" si="5"/>
        <v>1140.2949015293457</v>
      </c>
      <c r="D64">
        <f t="shared" si="2"/>
        <v>2727.272214457163</v>
      </c>
      <c r="E64">
        <f t="shared" si="6"/>
        <v>1586.9773129278174</v>
      </c>
      <c r="G64">
        <v>315</v>
      </c>
      <c r="H64">
        <v>1430.84</v>
      </c>
      <c r="I64">
        <v>2714.2</v>
      </c>
      <c r="J64">
        <f t="shared" si="3"/>
        <v>1283.3599999999999</v>
      </c>
      <c r="L64">
        <v>295</v>
      </c>
      <c r="M64">
        <v>1316.27</v>
      </c>
      <c r="N64">
        <v>2758</v>
      </c>
      <c r="O64">
        <f t="shared" si="4"/>
        <v>1441.73</v>
      </c>
    </row>
    <row r="65" spans="2:15">
      <c r="B65">
        <v>300</v>
      </c>
      <c r="C65">
        <f t="shared" si="5"/>
        <v>1139.2560026130004</v>
      </c>
      <c r="D65">
        <f t="shared" si="2"/>
        <v>2715.2180761000004</v>
      </c>
      <c r="E65">
        <f t="shared" si="6"/>
        <v>1575.962073487</v>
      </c>
      <c r="G65">
        <v>320</v>
      </c>
      <c r="H65">
        <v>1461.25</v>
      </c>
      <c r="I65">
        <v>2699.7</v>
      </c>
      <c r="J65">
        <f t="shared" si="3"/>
        <v>1238.4499999999998</v>
      </c>
      <c r="L65">
        <v>300</v>
      </c>
      <c r="M65">
        <v>1344.01</v>
      </c>
      <c r="N65">
        <v>2748.9</v>
      </c>
      <c r="O65">
        <f t="shared" si="4"/>
        <v>1404.89</v>
      </c>
    </row>
    <row r="66" spans="2:15">
      <c r="B66">
        <v>305</v>
      </c>
      <c r="C66">
        <f t="shared" si="5"/>
        <v>1135.0285348075929</v>
      </c>
      <c r="D66">
        <f t="shared" si="2"/>
        <v>2701.9414795939142</v>
      </c>
      <c r="E66">
        <f t="shared" si="6"/>
        <v>1566.9129447863213</v>
      </c>
      <c r="G66">
        <v>325</v>
      </c>
      <c r="H66">
        <v>1492.58</v>
      </c>
      <c r="I66">
        <v>2683.5</v>
      </c>
      <c r="J66">
        <f t="shared" si="3"/>
        <v>1190.92</v>
      </c>
      <c r="L66">
        <v>305</v>
      </c>
      <c r="M66">
        <v>1372.33</v>
      </c>
      <c r="N66">
        <v>2738.7</v>
      </c>
      <c r="O66">
        <f t="shared" si="4"/>
        <v>1366.37</v>
      </c>
    </row>
    <row r="67" spans="2:15">
      <c r="B67">
        <v>310</v>
      </c>
      <c r="C67">
        <f t="shared" si="5"/>
        <v>1127.2847137064575</v>
      </c>
      <c r="D67">
        <f t="shared" si="2"/>
        <v>2687.3781435761116</v>
      </c>
      <c r="E67">
        <f t="shared" si="6"/>
        <v>1560.0934298696541</v>
      </c>
      <c r="G67">
        <v>330</v>
      </c>
      <c r="H67">
        <v>1525</v>
      </c>
      <c r="I67">
        <v>2665.3</v>
      </c>
      <c r="J67">
        <f t="shared" si="3"/>
        <v>1140.3000000000002</v>
      </c>
      <c r="L67">
        <v>310</v>
      </c>
      <c r="M67">
        <v>1401.29</v>
      </c>
      <c r="N67">
        <v>2727.3</v>
      </c>
      <c r="O67">
        <f t="shared" si="4"/>
        <v>1326.0100000000002</v>
      </c>
    </row>
    <row r="68" spans="2:15">
      <c r="B68">
        <v>315</v>
      </c>
      <c r="C68">
        <f t="shared" si="5"/>
        <v>1115.6731648670066</v>
      </c>
      <c r="D68">
        <f t="shared" si="2"/>
        <v>2671.4605794388976</v>
      </c>
      <c r="E68">
        <f t="shared" si="6"/>
        <v>1555.7874145718911</v>
      </c>
      <c r="G68">
        <v>335</v>
      </c>
      <c r="H68">
        <v>1558.6</v>
      </c>
      <c r="I68">
        <v>2644.7</v>
      </c>
      <c r="J68">
        <f t="shared" si="3"/>
        <v>1086.0999999999999</v>
      </c>
      <c r="L68">
        <v>315</v>
      </c>
      <c r="M68">
        <v>1430.97</v>
      </c>
      <c r="N68">
        <v>2714.4</v>
      </c>
      <c r="O68">
        <f t="shared" si="4"/>
        <v>1283.43</v>
      </c>
    </row>
    <row r="69" spans="2:15">
      <c r="B69">
        <v>320</v>
      </c>
      <c r="C69">
        <f t="shared" ref="C69:C81" si="7" xml:space="preserve"> 0.007529613 + 4.212269 * B69 - 0.001194192 * B69 ^ 2 + 0.00002101532 * B69 ^ 3 - 0.0000001935015 * B69 ^ 4 + 0.000000001042925 * B69 ^ 5 - 2.128003 * 10 ^ -12 * B69 ^ 6</f>
        <v>1099.817842595528</v>
      </c>
      <c r="D69">
        <f t="shared" si="2"/>
        <v>2654.1179603531782</v>
      </c>
      <c r="E69">
        <f t="shared" ref="E69:E81" si="8">D69-C69</f>
        <v>1554.3001177576502</v>
      </c>
      <c r="G69">
        <v>340</v>
      </c>
      <c r="H69">
        <v>1593.8</v>
      </c>
      <c r="I69">
        <v>2621.3000000000002</v>
      </c>
      <c r="J69">
        <f t="shared" si="3"/>
        <v>1027.5000000000002</v>
      </c>
      <c r="L69">
        <v>320</v>
      </c>
      <c r="M69">
        <v>1461.45</v>
      </c>
      <c r="N69">
        <v>2700.1</v>
      </c>
      <c r="O69">
        <f t="shared" si="4"/>
        <v>1238.6499999999999</v>
      </c>
    </row>
    <row r="70" spans="2:15">
      <c r="B70">
        <v>325</v>
      </c>
      <c r="C70">
        <f t="shared" si="7"/>
        <v>1079.3169247919559</v>
      </c>
      <c r="D70">
        <f t="shared" ref="D70:D81" si="9" xml:space="preserve"> (2500.918 + 1.834961 * B70 - 0.0003841512 * B70 ^ 2 - 0.000001108345 * B70 ^ 3 - 0.00000004896947 * B70 ^ 4 + 0.0000000001292303 * B70 ^ 5 - 0.0000000000002593501 * B70 ^ 6)</f>
        <v>2635.2759873742921</v>
      </c>
      <c r="E70">
        <f t="shared" si="8"/>
        <v>1555.9590625823362</v>
      </c>
      <c r="G70">
        <v>345</v>
      </c>
      <c r="H70">
        <v>1630.9</v>
      </c>
      <c r="I70">
        <v>2594.5</v>
      </c>
      <c r="J70">
        <f t="shared" ref="J70:J78" si="10">I70-H70</f>
        <v>963.59999999999991</v>
      </c>
      <c r="L70">
        <v>330</v>
      </c>
      <c r="M70">
        <v>1525.29</v>
      </c>
      <c r="N70">
        <v>2665.8</v>
      </c>
      <c r="O70">
        <f t="shared" ref="O70:O75" si="11">N70-M70</f>
        <v>1140.5100000000002</v>
      </c>
    </row>
    <row r="71" spans="2:15">
      <c r="B71">
        <v>330</v>
      </c>
      <c r="C71">
        <f t="shared" si="7"/>
        <v>1053.7416838545937</v>
      </c>
      <c r="D71">
        <f t="shared" si="9"/>
        <v>2614.8567526301431</v>
      </c>
      <c r="E71">
        <f t="shared" si="8"/>
        <v>1561.1150687755494</v>
      </c>
      <c r="G71">
        <v>350</v>
      </c>
      <c r="H71">
        <v>1670.4</v>
      </c>
      <c r="I71">
        <v>2563.5</v>
      </c>
      <c r="J71">
        <f t="shared" si="10"/>
        <v>893.09999999999991</v>
      </c>
      <c r="L71">
        <v>340</v>
      </c>
      <c r="M71">
        <v>1594.15</v>
      </c>
      <c r="N71">
        <v>2622</v>
      </c>
      <c r="O71">
        <f t="shared" si="11"/>
        <v>1027.8499999999999</v>
      </c>
    </row>
    <row r="72" spans="2:15">
      <c r="B72">
        <v>335</v>
      </c>
      <c r="C72">
        <f t="shared" si="7"/>
        <v>1022.6353336448205</v>
      </c>
      <c r="D72">
        <f t="shared" si="9"/>
        <v>2592.7785995916447</v>
      </c>
      <c r="E72">
        <f t="shared" si="8"/>
        <v>1570.1432659468242</v>
      </c>
      <c r="G72">
        <v>355</v>
      </c>
      <c r="H72">
        <v>1713.3</v>
      </c>
      <c r="I72">
        <v>2526.6999999999998</v>
      </c>
      <c r="J72">
        <f t="shared" si="10"/>
        <v>813.39999999999986</v>
      </c>
      <c r="L72">
        <v>350</v>
      </c>
      <c r="M72">
        <v>1670.54</v>
      </c>
      <c r="N72">
        <v>2563.9</v>
      </c>
      <c r="O72">
        <f t="shared" si="11"/>
        <v>893.36000000000013</v>
      </c>
    </row>
    <row r="73" spans="2:15">
      <c r="B73">
        <v>340</v>
      </c>
      <c r="C73">
        <f t="shared" si="7"/>
        <v>985.51185251175275</v>
      </c>
      <c r="D73">
        <f t="shared" si="9"/>
        <v>2568.9559804254782</v>
      </c>
      <c r="E73">
        <f t="shared" si="8"/>
        <v>1583.4441279137254</v>
      </c>
      <c r="G73">
        <v>360</v>
      </c>
      <c r="H73">
        <v>1761</v>
      </c>
      <c r="I73">
        <v>2482</v>
      </c>
      <c r="J73">
        <f t="shared" si="10"/>
        <v>721</v>
      </c>
      <c r="L73">
        <v>360</v>
      </c>
      <c r="M73">
        <v>1760.48</v>
      </c>
      <c r="N73">
        <v>2481</v>
      </c>
      <c r="O73">
        <f t="shared" si="11"/>
        <v>720.52</v>
      </c>
    </row>
    <row r="74" spans="2:15">
      <c r="B74">
        <v>345</v>
      </c>
      <c r="C74">
        <f t="shared" si="7"/>
        <v>941.8547823768713</v>
      </c>
      <c r="D74">
        <f t="shared" si="9"/>
        <v>2543.2993104291641</v>
      </c>
      <c r="E74">
        <f t="shared" si="8"/>
        <v>1601.4445280522928</v>
      </c>
      <c r="G74">
        <v>365</v>
      </c>
      <c r="H74">
        <v>1816.7</v>
      </c>
      <c r="I74">
        <v>2424.6</v>
      </c>
      <c r="J74">
        <f t="shared" si="10"/>
        <v>607.89999999999986</v>
      </c>
      <c r="L74">
        <v>370</v>
      </c>
      <c r="M74">
        <v>1890.37</v>
      </c>
      <c r="N74">
        <v>2332.1</v>
      </c>
      <c r="O74">
        <f t="shared" si="11"/>
        <v>441.73</v>
      </c>
    </row>
    <row r="75" spans="2:15">
      <c r="B75">
        <v>350</v>
      </c>
      <c r="C75">
        <f t="shared" si="7"/>
        <v>891.11600387862563</v>
      </c>
      <c r="D75">
        <f t="shared" si="9"/>
        <v>2515.7148195484378</v>
      </c>
      <c r="E75">
        <f t="shared" si="8"/>
        <v>1624.5988156698122</v>
      </c>
      <c r="G75">
        <v>367.5</v>
      </c>
      <c r="H75">
        <v>1849.8</v>
      </c>
      <c r="I75">
        <v>2387.6</v>
      </c>
      <c r="J75">
        <f t="shared" si="10"/>
        <v>537.79999999999995</v>
      </c>
      <c r="L75">
        <v>374.14</v>
      </c>
      <c r="M75">
        <v>2099.2600000000002</v>
      </c>
      <c r="N75">
        <v>2099.3000000000002</v>
      </c>
      <c r="O75">
        <f t="shared" si="11"/>
        <v>3.999999999996362E-2</v>
      </c>
    </row>
    <row r="76" spans="2:15">
      <c r="B76">
        <v>355</v>
      </c>
      <c r="C76">
        <f t="shared" si="7"/>
        <v>832.71448757698909</v>
      </c>
      <c r="D76">
        <f t="shared" si="9"/>
        <v>2486.1044009769462</v>
      </c>
      <c r="E76">
        <f t="shared" si="8"/>
        <v>1653.3899133999571</v>
      </c>
      <c r="G76">
        <v>370</v>
      </c>
      <c r="H76">
        <v>1889.7</v>
      </c>
      <c r="I76">
        <v>2340.1999999999998</v>
      </c>
      <c r="J76">
        <f t="shared" si="10"/>
        <v>450.49999999999977</v>
      </c>
    </row>
    <row r="77" spans="2:15">
      <c r="B77">
        <v>360</v>
      </c>
      <c r="C77">
        <f t="shared" si="7"/>
        <v>766.03502121799283</v>
      </c>
      <c r="D77">
        <f t="shared" si="9"/>
        <v>2454.3654568382462</v>
      </c>
      <c r="E77">
        <f t="shared" si="8"/>
        <v>1688.3304356202534</v>
      </c>
      <c r="G77">
        <v>372.5</v>
      </c>
      <c r="H77">
        <v>1947.7</v>
      </c>
      <c r="I77">
        <v>2266.6</v>
      </c>
      <c r="J77">
        <f t="shared" si="10"/>
        <v>318.89999999999986</v>
      </c>
    </row>
    <row r="78" spans="2:15">
      <c r="B78">
        <v>365</v>
      </c>
      <c r="C78">
        <f t="shared" si="7"/>
        <v>690.42691305822154</v>
      </c>
      <c r="D78">
        <f t="shared" si="9"/>
        <v>2420.3907409501253</v>
      </c>
      <c r="E78">
        <f t="shared" si="8"/>
        <v>1729.9638278919037</v>
      </c>
      <c r="G78">
        <v>373.976</v>
      </c>
      <c r="H78">
        <v>2086</v>
      </c>
      <c r="I78">
        <v>2086</v>
      </c>
      <c r="J78">
        <f t="shared" si="10"/>
        <v>0</v>
      </c>
    </row>
    <row r="79" spans="2:15">
      <c r="B79">
        <v>370</v>
      </c>
      <c r="C79">
        <f t="shared" si="7"/>
        <v>605.20267124927432</v>
      </c>
      <c r="D79">
        <f t="shared" si="9"/>
        <v>2384.0681986712193</v>
      </c>
      <c r="E79">
        <f t="shared" si="8"/>
        <v>1778.865527421945</v>
      </c>
    </row>
    <row r="80" spans="2:15">
      <c r="B80">
        <v>372.5</v>
      </c>
      <c r="C80">
        <f t="shared" si="7"/>
        <v>558.75926609926046</v>
      </c>
      <c r="D80">
        <f t="shared" si="9"/>
        <v>2364.9901206758141</v>
      </c>
      <c r="E80">
        <f t="shared" si="8"/>
        <v>1806.2308545765536</v>
      </c>
    </row>
    <row r="81" spans="2:5">
      <c r="B81">
        <v>373.976</v>
      </c>
      <c r="C81">
        <f t="shared" si="7"/>
        <v>530.08738518633436</v>
      </c>
      <c r="D81">
        <f t="shared" si="9"/>
        <v>2353.431047359134</v>
      </c>
      <c r="E81">
        <f t="shared" si="8"/>
        <v>1823.3436621727997</v>
      </c>
    </row>
  </sheetData>
  <mergeCells count="1">
    <mergeCell ref="C3:E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EDA17-5507-4C05-8F0C-4144192C563B}">
  <sheetPr codeName="Sheet7"/>
  <dimension ref="A1:C38"/>
  <sheetViews>
    <sheetView workbookViewId="0">
      <selection activeCell="B12" sqref="B12"/>
    </sheetView>
  </sheetViews>
  <sheetFormatPr defaultRowHeight="15.75"/>
  <cols>
    <col min="2" max="2" width="26.375" bestFit="1" customWidth="1"/>
  </cols>
  <sheetData>
    <row r="1" spans="1:3" ht="16.5" thickBot="1"/>
    <row r="2" spans="1:3" ht="16.5" thickBot="1">
      <c r="A2" s="358"/>
      <c r="B2" s="352" t="s">
        <v>406</v>
      </c>
      <c r="C2" s="353" t="s">
        <v>407</v>
      </c>
    </row>
    <row r="3" spans="1:3">
      <c r="A3" s="358">
        <v>1</v>
      </c>
      <c r="B3" s="354" t="s">
        <v>408</v>
      </c>
      <c r="C3" s="355" t="s">
        <v>220</v>
      </c>
    </row>
    <row r="4" spans="1:3">
      <c r="A4" s="358">
        <v>2</v>
      </c>
      <c r="B4" s="356" t="s">
        <v>409</v>
      </c>
      <c r="C4" s="357" t="s">
        <v>410</v>
      </c>
    </row>
    <row r="5" spans="1:3">
      <c r="A5" s="358">
        <v>3</v>
      </c>
      <c r="B5" s="356" t="s">
        <v>440</v>
      </c>
      <c r="C5" s="357" t="s">
        <v>410</v>
      </c>
    </row>
    <row r="6" spans="1:3">
      <c r="A6" s="358">
        <v>4</v>
      </c>
      <c r="B6" s="356" t="s">
        <v>427</v>
      </c>
      <c r="C6" s="357" t="s">
        <v>410</v>
      </c>
    </row>
    <row r="7" spans="1:3">
      <c r="A7" s="358">
        <v>5</v>
      </c>
      <c r="B7" s="356" t="s">
        <v>429</v>
      </c>
      <c r="C7" s="357" t="s">
        <v>410</v>
      </c>
    </row>
    <row r="8" spans="1:3">
      <c r="A8" s="358">
        <v>6</v>
      </c>
      <c r="B8" s="356" t="s">
        <v>426</v>
      </c>
      <c r="C8" s="357" t="s">
        <v>272</v>
      </c>
    </row>
    <row r="9" spans="1:3">
      <c r="A9" s="358">
        <v>7</v>
      </c>
      <c r="B9" s="356" t="s">
        <v>428</v>
      </c>
      <c r="C9" s="357" t="s">
        <v>273</v>
      </c>
    </row>
    <row r="10" spans="1:3">
      <c r="A10" s="358">
        <v>8</v>
      </c>
      <c r="B10" s="356" t="s">
        <v>411</v>
      </c>
      <c r="C10" s="452" t="s">
        <v>12</v>
      </c>
    </row>
    <row r="11" spans="1:3">
      <c r="A11" s="358">
        <v>9</v>
      </c>
      <c r="B11" s="356" t="s">
        <v>188</v>
      </c>
      <c r="C11" s="452"/>
    </row>
    <row r="12" spans="1:3">
      <c r="A12" s="358">
        <v>10</v>
      </c>
      <c r="B12" s="356" t="s">
        <v>418</v>
      </c>
      <c r="C12" s="452"/>
    </row>
    <row r="13" spans="1:3">
      <c r="A13" s="358">
        <v>11</v>
      </c>
      <c r="B13" s="356" t="s">
        <v>419</v>
      </c>
      <c r="C13" s="452"/>
    </row>
    <row r="14" spans="1:3">
      <c r="A14" s="358">
        <v>12</v>
      </c>
      <c r="B14" s="356" t="s">
        <v>437</v>
      </c>
      <c r="C14" s="452"/>
    </row>
    <row r="15" spans="1:3">
      <c r="A15" s="358">
        <v>13</v>
      </c>
      <c r="B15" s="356" t="s">
        <v>438</v>
      </c>
      <c r="C15" s="452"/>
    </row>
    <row r="16" spans="1:3">
      <c r="A16" s="358">
        <v>14</v>
      </c>
      <c r="B16" s="356" t="s">
        <v>439</v>
      </c>
      <c r="C16" s="452"/>
    </row>
    <row r="17" spans="1:3">
      <c r="A17" s="358">
        <v>15</v>
      </c>
      <c r="B17" s="356" t="s">
        <v>420</v>
      </c>
      <c r="C17" s="357" t="s">
        <v>11</v>
      </c>
    </row>
    <row r="18" spans="1:3">
      <c r="A18" s="358">
        <v>16</v>
      </c>
      <c r="B18" s="356" t="s">
        <v>421</v>
      </c>
      <c r="C18" s="357" t="s">
        <v>95</v>
      </c>
    </row>
    <row r="19" spans="1:3">
      <c r="A19" s="358">
        <v>17</v>
      </c>
      <c r="B19" s="453" t="s">
        <v>422</v>
      </c>
      <c r="C19" s="454"/>
    </row>
    <row r="20" spans="1:3">
      <c r="A20" s="358">
        <v>18</v>
      </c>
      <c r="B20" s="356" t="s">
        <v>423</v>
      </c>
      <c r="C20" s="452" t="s">
        <v>307</v>
      </c>
    </row>
    <row r="21" spans="1:3">
      <c r="A21" s="358">
        <v>19</v>
      </c>
      <c r="B21" s="356" t="s">
        <v>424</v>
      </c>
      <c r="C21" s="452"/>
    </row>
    <row r="22" spans="1:3">
      <c r="A22" s="358">
        <v>20</v>
      </c>
      <c r="B22" s="356" t="s">
        <v>425</v>
      </c>
      <c r="C22" s="452"/>
    </row>
    <row r="23" spans="1:3">
      <c r="A23" s="358">
        <v>21</v>
      </c>
      <c r="B23" s="450" t="s">
        <v>193</v>
      </c>
      <c r="C23" s="451"/>
    </row>
    <row r="24" spans="1:3">
      <c r="A24" s="358">
        <v>22</v>
      </c>
      <c r="B24" s="453" t="s">
        <v>412</v>
      </c>
      <c r="C24" s="454"/>
    </row>
    <row r="25" spans="1:3">
      <c r="A25" s="358">
        <v>23</v>
      </c>
      <c r="B25" s="450" t="s">
        <v>413</v>
      </c>
      <c r="C25" s="451"/>
    </row>
    <row r="26" spans="1:3">
      <c r="A26" s="358">
        <v>24</v>
      </c>
      <c r="B26" s="450" t="s">
        <v>414</v>
      </c>
      <c r="C26" s="451"/>
    </row>
    <row r="27" spans="1:3">
      <c r="A27" s="358">
        <v>25</v>
      </c>
      <c r="B27" s="453" t="s">
        <v>415</v>
      </c>
      <c r="C27" s="454"/>
    </row>
    <row r="28" spans="1:3">
      <c r="A28" s="358">
        <v>26</v>
      </c>
      <c r="B28" s="450" t="s">
        <v>416</v>
      </c>
      <c r="C28" s="451"/>
    </row>
    <row r="29" spans="1:3">
      <c r="A29" s="358">
        <v>27</v>
      </c>
      <c r="B29" s="450" t="s">
        <v>417</v>
      </c>
      <c r="C29" s="451"/>
    </row>
    <row r="30" spans="1:3">
      <c r="A30" s="358">
        <v>28</v>
      </c>
      <c r="B30" s="450" t="s">
        <v>347</v>
      </c>
      <c r="C30" s="451"/>
    </row>
    <row r="31" spans="1:3">
      <c r="A31" s="358">
        <v>29</v>
      </c>
      <c r="B31" s="453" t="s">
        <v>245</v>
      </c>
      <c r="C31" s="454"/>
    </row>
    <row r="32" spans="1:3">
      <c r="A32" s="358">
        <v>30</v>
      </c>
      <c r="B32" s="450" t="s">
        <v>430</v>
      </c>
      <c r="C32" s="451"/>
    </row>
    <row r="33" spans="1:3">
      <c r="A33" s="358">
        <v>31</v>
      </c>
      <c r="B33" s="450" t="s">
        <v>431</v>
      </c>
      <c r="C33" s="451"/>
    </row>
    <row r="34" spans="1:3">
      <c r="A34" s="358">
        <v>32</v>
      </c>
      <c r="B34" s="450" t="s">
        <v>432</v>
      </c>
      <c r="C34" s="451"/>
    </row>
    <row r="35" spans="1:3">
      <c r="A35" s="358">
        <v>33</v>
      </c>
      <c r="B35" s="450" t="s">
        <v>433</v>
      </c>
      <c r="C35" s="451"/>
    </row>
    <row r="36" spans="1:3">
      <c r="A36" s="358">
        <v>34</v>
      </c>
      <c r="B36" s="450" t="s">
        <v>434</v>
      </c>
      <c r="C36" s="451"/>
    </row>
    <row r="37" spans="1:3">
      <c r="A37" s="358">
        <v>35</v>
      </c>
      <c r="B37" s="450" t="s">
        <v>435</v>
      </c>
      <c r="C37" s="451"/>
    </row>
    <row r="38" spans="1:3" ht="16.5" thickBot="1">
      <c r="A38" s="358">
        <v>36</v>
      </c>
      <c r="B38" s="455" t="s">
        <v>436</v>
      </c>
      <c r="C38" s="456"/>
    </row>
  </sheetData>
  <mergeCells count="19">
    <mergeCell ref="C10:C16"/>
    <mergeCell ref="B24:C24"/>
    <mergeCell ref="B27:C27"/>
    <mergeCell ref="B25:C25"/>
    <mergeCell ref="B26:C26"/>
    <mergeCell ref="B19:C19"/>
    <mergeCell ref="B23:C23"/>
    <mergeCell ref="B38:C38"/>
    <mergeCell ref="B33:C33"/>
    <mergeCell ref="B34:C34"/>
    <mergeCell ref="B35:C35"/>
    <mergeCell ref="B36:C36"/>
    <mergeCell ref="B37:C37"/>
    <mergeCell ref="B29:C29"/>
    <mergeCell ref="B30:C30"/>
    <mergeCell ref="C20:C22"/>
    <mergeCell ref="B31:C31"/>
    <mergeCell ref="B32:C32"/>
    <mergeCell ref="B28:C28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E602D-6F90-4F8A-8F95-EDB3E234A7EE}">
  <sheetPr codeName="Sheet9"/>
  <dimension ref="B2:M34"/>
  <sheetViews>
    <sheetView workbookViewId="0">
      <selection activeCell="J28" sqref="J28"/>
    </sheetView>
  </sheetViews>
  <sheetFormatPr defaultRowHeight="15.75"/>
  <cols>
    <col min="2" max="2" width="27.125" bestFit="1" customWidth="1"/>
    <col min="3" max="3" width="12.375" bestFit="1" customWidth="1"/>
    <col min="5" max="5" width="25.75" bestFit="1" customWidth="1"/>
    <col min="9" max="9" width="23.625" bestFit="1" customWidth="1"/>
    <col min="12" max="12" width="34.625" bestFit="1" customWidth="1"/>
    <col min="13" max="13" width="10.25" bestFit="1" customWidth="1"/>
  </cols>
  <sheetData>
    <row r="2" spans="2:13">
      <c r="B2" s="457" t="s">
        <v>441</v>
      </c>
      <c r="C2" s="457"/>
      <c r="E2" s="457" t="s">
        <v>160</v>
      </c>
      <c r="F2" s="457"/>
      <c r="I2" s="457" t="s">
        <v>465</v>
      </c>
      <c r="J2" s="457"/>
      <c r="L2" s="457" t="s">
        <v>233</v>
      </c>
      <c r="M2" s="457"/>
    </row>
    <row r="3" spans="2:13">
      <c r="B3" t="s">
        <v>48</v>
      </c>
      <c r="E3" t="s">
        <v>455</v>
      </c>
      <c r="I3" t="s">
        <v>466</v>
      </c>
      <c r="J3" t="s">
        <v>307</v>
      </c>
      <c r="L3" t="s">
        <v>165</v>
      </c>
      <c r="M3" t="s">
        <v>445</v>
      </c>
    </row>
    <row r="4" spans="2:13">
      <c r="B4" t="s">
        <v>153</v>
      </c>
      <c r="C4" t="s">
        <v>220</v>
      </c>
      <c r="E4" t="s">
        <v>193</v>
      </c>
      <c r="I4" t="s">
        <v>424</v>
      </c>
      <c r="J4" t="s">
        <v>307</v>
      </c>
      <c r="L4" t="s">
        <v>166</v>
      </c>
      <c r="M4" t="s">
        <v>445</v>
      </c>
    </row>
    <row r="5" spans="2:13">
      <c r="B5" t="s">
        <v>154</v>
      </c>
      <c r="C5" t="s">
        <v>59</v>
      </c>
      <c r="E5" t="s">
        <v>437</v>
      </c>
      <c r="F5" t="s">
        <v>12</v>
      </c>
      <c r="I5" t="s">
        <v>313</v>
      </c>
      <c r="J5" t="s">
        <v>307</v>
      </c>
      <c r="L5" t="s">
        <v>472</v>
      </c>
      <c r="M5" t="s">
        <v>445</v>
      </c>
    </row>
    <row r="6" spans="2:13">
      <c r="B6" t="s">
        <v>0</v>
      </c>
      <c r="C6" t="s">
        <v>410</v>
      </c>
      <c r="E6" t="s">
        <v>438</v>
      </c>
      <c r="F6" t="s">
        <v>12</v>
      </c>
    </row>
    <row r="7" spans="2:13">
      <c r="B7" t="s">
        <v>186</v>
      </c>
      <c r="C7" t="s">
        <v>59</v>
      </c>
      <c r="E7" t="s">
        <v>456</v>
      </c>
      <c r="F7" t="s">
        <v>12</v>
      </c>
      <c r="I7" s="457" t="s">
        <v>467</v>
      </c>
      <c r="J7" s="457"/>
      <c r="L7" s="457" t="s">
        <v>473</v>
      </c>
      <c r="M7" s="457"/>
    </row>
    <row r="8" spans="2:13">
      <c r="I8" t="s">
        <v>321</v>
      </c>
      <c r="J8" t="s">
        <v>157</v>
      </c>
      <c r="L8" t="s">
        <v>170</v>
      </c>
      <c r="M8" t="s">
        <v>445</v>
      </c>
    </row>
    <row r="9" spans="2:13">
      <c r="B9" s="457" t="s">
        <v>282</v>
      </c>
      <c r="C9" s="457"/>
      <c r="E9" s="457" t="s">
        <v>161</v>
      </c>
      <c r="F9" s="457"/>
      <c r="G9" s="457"/>
      <c r="I9" t="s">
        <v>316</v>
      </c>
      <c r="J9" t="s">
        <v>157</v>
      </c>
      <c r="L9" t="s">
        <v>474</v>
      </c>
      <c r="M9" t="s">
        <v>445</v>
      </c>
    </row>
    <row r="10" spans="2:13">
      <c r="B10" t="s">
        <v>415</v>
      </c>
      <c r="E10" t="s">
        <v>191</v>
      </c>
      <c r="F10" t="s">
        <v>11</v>
      </c>
      <c r="G10" t="s">
        <v>457</v>
      </c>
      <c r="I10" t="s">
        <v>348</v>
      </c>
      <c r="J10" t="s">
        <v>157</v>
      </c>
    </row>
    <row r="11" spans="2:13">
      <c r="B11" t="s">
        <v>188</v>
      </c>
      <c r="C11" t="s">
        <v>12</v>
      </c>
      <c r="E11" t="s">
        <v>72</v>
      </c>
      <c r="F11" t="s">
        <v>11</v>
      </c>
      <c r="G11" t="s">
        <v>457</v>
      </c>
      <c r="I11" t="s">
        <v>345</v>
      </c>
      <c r="J11" t="s">
        <v>157</v>
      </c>
      <c r="L11" s="457" t="s">
        <v>475</v>
      </c>
      <c r="M11" s="457"/>
    </row>
    <row r="12" spans="2:13">
      <c r="B12" t="s">
        <v>418</v>
      </c>
      <c r="C12" t="s">
        <v>12</v>
      </c>
      <c r="E12" t="s">
        <v>286</v>
      </c>
      <c r="F12" t="s">
        <v>11</v>
      </c>
      <c r="G12" t="s">
        <v>457</v>
      </c>
      <c r="I12" t="s">
        <v>468</v>
      </c>
      <c r="J12" t="s">
        <v>157</v>
      </c>
      <c r="L12" t="s">
        <v>476</v>
      </c>
      <c r="M12" t="s">
        <v>449</v>
      </c>
    </row>
    <row r="13" spans="2:13">
      <c r="B13" t="s">
        <v>442</v>
      </c>
      <c r="C13" t="s">
        <v>410</v>
      </c>
      <c r="E13" t="s">
        <v>192</v>
      </c>
      <c r="F13" t="s">
        <v>11</v>
      </c>
      <c r="G13" t="s">
        <v>457</v>
      </c>
      <c r="L13" t="s">
        <v>477</v>
      </c>
      <c r="M13" t="s">
        <v>449</v>
      </c>
    </row>
    <row r="14" spans="2:13">
      <c r="B14" t="s">
        <v>443</v>
      </c>
      <c r="C14" t="s">
        <v>12</v>
      </c>
      <c r="E14" t="s">
        <v>238</v>
      </c>
      <c r="F14" t="s">
        <v>11</v>
      </c>
      <c r="G14" t="s">
        <v>457</v>
      </c>
      <c r="I14" s="457" t="s">
        <v>469</v>
      </c>
      <c r="J14" s="457"/>
      <c r="L14" t="s">
        <v>478</v>
      </c>
      <c r="M14" t="s">
        <v>449</v>
      </c>
    </row>
    <row r="15" spans="2:13">
      <c r="B15" t="s">
        <v>444</v>
      </c>
      <c r="C15" t="s">
        <v>95</v>
      </c>
      <c r="I15" t="s">
        <v>347</v>
      </c>
      <c r="J15" t="s">
        <v>157</v>
      </c>
      <c r="L15" t="s">
        <v>479</v>
      </c>
      <c r="M15" t="s">
        <v>449</v>
      </c>
    </row>
    <row r="16" spans="2:13">
      <c r="E16" s="457" t="s">
        <v>458</v>
      </c>
      <c r="F16" s="457"/>
      <c r="I16" t="s">
        <v>366</v>
      </c>
      <c r="J16" t="s">
        <v>157</v>
      </c>
      <c r="L16" t="s">
        <v>480</v>
      </c>
      <c r="M16" t="s">
        <v>449</v>
      </c>
    </row>
    <row r="17" spans="2:13">
      <c r="B17" s="457" t="s">
        <v>243</v>
      </c>
      <c r="C17" s="457"/>
      <c r="E17" t="s">
        <v>459</v>
      </c>
      <c r="F17" t="s">
        <v>460</v>
      </c>
      <c r="I17" t="s">
        <v>364</v>
      </c>
      <c r="J17" t="s">
        <v>157</v>
      </c>
      <c r="L17" t="s">
        <v>184</v>
      </c>
      <c r="M17" t="s">
        <v>449</v>
      </c>
    </row>
    <row r="18" spans="2:13">
      <c r="B18" t="s">
        <v>173</v>
      </c>
      <c r="C18" t="s">
        <v>445</v>
      </c>
      <c r="I18" t="s">
        <v>470</v>
      </c>
      <c r="J18" t="s">
        <v>157</v>
      </c>
      <c r="L18" t="s">
        <v>180</v>
      </c>
      <c r="M18" t="s">
        <v>449</v>
      </c>
    </row>
    <row r="19" spans="2:13">
      <c r="B19" t="s">
        <v>446</v>
      </c>
      <c r="C19" t="s">
        <v>445</v>
      </c>
      <c r="E19" s="457" t="s">
        <v>461</v>
      </c>
      <c r="F19" s="457"/>
      <c r="I19" t="s">
        <v>368</v>
      </c>
      <c r="J19" t="s">
        <v>157</v>
      </c>
    </row>
    <row r="20" spans="2:13">
      <c r="B20" t="s">
        <v>255</v>
      </c>
      <c r="E20" t="s">
        <v>462</v>
      </c>
      <c r="F20" t="s">
        <v>157</v>
      </c>
      <c r="I20" t="s">
        <v>369</v>
      </c>
      <c r="J20" t="s">
        <v>157</v>
      </c>
      <c r="L20" s="457" t="s">
        <v>249</v>
      </c>
      <c r="M20" s="457"/>
    </row>
    <row r="21" spans="2:13">
      <c r="B21" t="s">
        <v>258</v>
      </c>
      <c r="C21" t="s">
        <v>447</v>
      </c>
      <c r="E21" t="s">
        <v>463</v>
      </c>
      <c r="F21" t="s">
        <v>157</v>
      </c>
      <c r="L21" t="s">
        <v>294</v>
      </c>
      <c r="M21" t="s">
        <v>445</v>
      </c>
    </row>
    <row r="22" spans="2:13">
      <c r="B22" t="s">
        <v>448</v>
      </c>
      <c r="C22" t="s">
        <v>449</v>
      </c>
      <c r="E22" t="s">
        <v>377</v>
      </c>
      <c r="F22" t="s">
        <v>157</v>
      </c>
      <c r="I22" s="457" t="s">
        <v>471</v>
      </c>
      <c r="J22" s="457"/>
      <c r="L22" t="s">
        <v>481</v>
      </c>
      <c r="M22" t="s">
        <v>445</v>
      </c>
    </row>
    <row r="23" spans="2:13">
      <c r="E23" t="s">
        <v>464</v>
      </c>
      <c r="F23" t="s">
        <v>157</v>
      </c>
      <c r="I23" t="s">
        <v>463</v>
      </c>
      <c r="J23" t="s">
        <v>157</v>
      </c>
      <c r="L23" t="s">
        <v>482</v>
      </c>
      <c r="M23" t="s">
        <v>445</v>
      </c>
    </row>
    <row r="24" spans="2:13">
      <c r="B24" s="457" t="s">
        <v>450</v>
      </c>
      <c r="C24" s="457"/>
      <c r="I24" t="s">
        <v>377</v>
      </c>
      <c r="J24" t="s">
        <v>157</v>
      </c>
      <c r="L24" t="s">
        <v>483</v>
      </c>
      <c r="M24" t="s">
        <v>445</v>
      </c>
    </row>
    <row r="25" spans="2:13">
      <c r="B25" t="s">
        <v>451</v>
      </c>
      <c r="C25" t="s">
        <v>445</v>
      </c>
      <c r="I25" t="s">
        <v>464</v>
      </c>
      <c r="J25" t="s">
        <v>157</v>
      </c>
      <c r="L25" t="s">
        <v>484</v>
      </c>
      <c r="M25" t="s">
        <v>445</v>
      </c>
    </row>
    <row r="26" spans="2:13">
      <c r="B26" t="s">
        <v>452</v>
      </c>
      <c r="C26" t="s">
        <v>445</v>
      </c>
      <c r="L26" t="s">
        <v>485</v>
      </c>
      <c r="M26" t="s">
        <v>445</v>
      </c>
    </row>
    <row r="27" spans="2:13">
      <c r="L27" t="s">
        <v>486</v>
      </c>
      <c r="M27" t="s">
        <v>445</v>
      </c>
    </row>
    <row r="28" spans="2:13">
      <c r="B28" s="457" t="s">
        <v>453</v>
      </c>
      <c r="C28" s="457"/>
      <c r="L28" t="s">
        <v>487</v>
      </c>
      <c r="M28" t="s">
        <v>445</v>
      </c>
    </row>
    <row r="29" spans="2:13">
      <c r="B29" t="s">
        <v>454</v>
      </c>
      <c r="C29" t="s">
        <v>157</v>
      </c>
      <c r="L29" t="s">
        <v>488</v>
      </c>
      <c r="M29" t="s">
        <v>445</v>
      </c>
    </row>
    <row r="30" spans="2:13">
      <c r="B30" t="s">
        <v>377</v>
      </c>
      <c r="C30" t="s">
        <v>157</v>
      </c>
      <c r="L30" t="s">
        <v>489</v>
      </c>
      <c r="M30" t="s">
        <v>445</v>
      </c>
    </row>
    <row r="31" spans="2:13">
      <c r="L31" t="s">
        <v>490</v>
      </c>
      <c r="M31" t="s">
        <v>445</v>
      </c>
    </row>
    <row r="32" spans="2:13">
      <c r="L32" t="s">
        <v>491</v>
      </c>
      <c r="M32" t="s">
        <v>445</v>
      </c>
    </row>
    <row r="33" spans="12:13">
      <c r="L33" t="s">
        <v>492</v>
      </c>
      <c r="M33" t="s">
        <v>445</v>
      </c>
    </row>
    <row r="34" spans="12:13">
      <c r="L34" t="s">
        <v>493</v>
      </c>
      <c r="M34" t="s">
        <v>445</v>
      </c>
    </row>
  </sheetData>
  <mergeCells count="17">
    <mergeCell ref="B28:C28"/>
    <mergeCell ref="I2:J2"/>
    <mergeCell ref="I7:J7"/>
    <mergeCell ref="I14:J14"/>
    <mergeCell ref="I22:J22"/>
    <mergeCell ref="E2:F2"/>
    <mergeCell ref="E9:G9"/>
    <mergeCell ref="E16:F16"/>
    <mergeCell ref="E19:F19"/>
    <mergeCell ref="B2:C2"/>
    <mergeCell ref="B9:C9"/>
    <mergeCell ref="B17:C17"/>
    <mergeCell ref="L2:M2"/>
    <mergeCell ref="L7:M7"/>
    <mergeCell ref="L11:M11"/>
    <mergeCell ref="L20:M20"/>
    <mergeCell ref="B24:C24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C1:H43"/>
  <sheetViews>
    <sheetView showGridLines="0" workbookViewId="0">
      <selection activeCell="L5" sqref="L5"/>
    </sheetView>
  </sheetViews>
  <sheetFormatPr defaultRowHeight="15.75"/>
  <cols>
    <col min="3" max="3" width="19" customWidth="1"/>
  </cols>
  <sheetData>
    <row r="1" spans="3:8">
      <c r="D1" s="115"/>
      <c r="E1" s="115"/>
    </row>
    <row r="2" spans="3:8">
      <c r="D2" s="115"/>
      <c r="E2" s="115"/>
    </row>
    <row r="3" spans="3:8">
      <c r="C3" s="115" t="s">
        <v>231</v>
      </c>
      <c r="D3" s="115" t="s">
        <v>329</v>
      </c>
      <c r="E3" s="115"/>
    </row>
    <row r="4" spans="3:8">
      <c r="C4" s="115" t="s">
        <v>283</v>
      </c>
      <c r="D4" s="115" t="s">
        <v>330</v>
      </c>
      <c r="E4" s="115"/>
    </row>
    <row r="5" spans="3:8">
      <c r="C5" s="129" t="s">
        <v>10</v>
      </c>
      <c r="D5" s="115"/>
      <c r="E5" s="115"/>
    </row>
    <row r="6" spans="3:8">
      <c r="C6" s="115" t="s">
        <v>14</v>
      </c>
      <c r="D6" s="115">
        <f>1311*3</f>
        <v>3933</v>
      </c>
      <c r="E6" s="115" t="s">
        <v>6</v>
      </c>
      <c r="F6" s="117">
        <f>10068.74*3</f>
        <v>30206.22</v>
      </c>
      <c r="G6" s="115" t="s">
        <v>281</v>
      </c>
      <c r="H6" s="115" t="s">
        <v>331</v>
      </c>
    </row>
    <row r="7" spans="3:8">
      <c r="C7" s="115" t="s">
        <v>128</v>
      </c>
      <c r="D7" s="115">
        <v>220</v>
      </c>
      <c r="E7" s="115"/>
    </row>
    <row r="8" spans="3:8">
      <c r="C8" s="115" t="s">
        <v>155</v>
      </c>
      <c r="D8" s="115"/>
      <c r="E8" s="115"/>
    </row>
    <row r="9" spans="3:8">
      <c r="C9" s="115" t="s">
        <v>48</v>
      </c>
      <c r="D9" s="115" t="s">
        <v>332</v>
      </c>
      <c r="E9" s="115"/>
    </row>
    <row r="10" spans="3:8">
      <c r="C10" s="129" t="s">
        <v>130</v>
      </c>
      <c r="D10" s="115"/>
      <c r="E10" s="115"/>
    </row>
    <row r="11" spans="3:8">
      <c r="C11" s="115" t="s">
        <v>78</v>
      </c>
      <c r="D11" s="115"/>
      <c r="E11" s="115"/>
    </row>
    <row r="12" spans="3:8">
      <c r="C12" s="115" t="s">
        <v>23</v>
      </c>
      <c r="D12" s="115">
        <v>40</v>
      </c>
      <c r="E12" s="115"/>
    </row>
    <row r="13" spans="3:8">
      <c r="C13" s="115" t="s">
        <v>24</v>
      </c>
      <c r="D13" s="115">
        <v>37</v>
      </c>
      <c r="E13" s="115"/>
    </row>
    <row r="14" spans="3:8">
      <c r="C14" s="133" t="s">
        <v>94</v>
      </c>
      <c r="D14" s="115"/>
      <c r="E14" s="115"/>
    </row>
    <row r="15" spans="3:8">
      <c r="C15" s="115" t="s">
        <v>110</v>
      </c>
      <c r="D15" s="115"/>
      <c r="E15" s="115"/>
    </row>
    <row r="16" spans="3:8">
      <c r="C16" s="115" t="s">
        <v>117</v>
      </c>
      <c r="D16" s="115"/>
      <c r="E16" s="115"/>
    </row>
    <row r="17" spans="3:5">
      <c r="C17" s="115"/>
      <c r="D17" s="115"/>
      <c r="E17" s="115"/>
    </row>
    <row r="18" spans="3:5">
      <c r="C18" s="115"/>
      <c r="D18" s="115"/>
      <c r="E18" s="115"/>
    </row>
    <row r="19" spans="3:5">
      <c r="C19" s="115" t="s">
        <v>15</v>
      </c>
      <c r="D19" s="115"/>
      <c r="E19" s="115"/>
    </row>
    <row r="20" spans="3:5">
      <c r="C20" s="115" t="s">
        <v>4</v>
      </c>
      <c r="D20" s="115">
        <v>15</v>
      </c>
      <c r="E20" s="115"/>
    </row>
    <row r="21" spans="3:5">
      <c r="C21" s="115"/>
      <c r="D21" s="115"/>
      <c r="E21" s="115"/>
    </row>
    <row r="22" spans="3:5">
      <c r="C22" s="115" t="s">
        <v>33</v>
      </c>
      <c r="D22" s="115"/>
      <c r="E22" s="115"/>
    </row>
    <row r="23" spans="3:5">
      <c r="C23" s="115" t="s">
        <v>32</v>
      </c>
      <c r="D23" s="115"/>
      <c r="E23" s="115"/>
    </row>
    <row r="24" spans="3:5">
      <c r="C24" s="115" t="s">
        <v>34</v>
      </c>
      <c r="D24" s="115"/>
      <c r="E24" s="115"/>
    </row>
    <row r="25" spans="3:5">
      <c r="C25" s="115"/>
      <c r="D25" s="115"/>
      <c r="E25" s="115"/>
    </row>
    <row r="26" spans="3:5">
      <c r="C26" s="115"/>
      <c r="D26" s="115"/>
      <c r="E26" s="115"/>
    </row>
    <row r="27" spans="3:5">
      <c r="C27" s="129" t="s">
        <v>20</v>
      </c>
      <c r="D27" s="115"/>
      <c r="E27" s="115"/>
    </row>
    <row r="28" spans="3:5">
      <c r="C28" s="115" t="s">
        <v>19</v>
      </c>
      <c r="D28" s="115"/>
      <c r="E28" s="115"/>
    </row>
    <row r="29" spans="3:5">
      <c r="C29" s="115" t="s">
        <v>18</v>
      </c>
      <c r="D29" s="115"/>
      <c r="E29" s="115"/>
    </row>
    <row r="30" spans="3:5">
      <c r="C30" s="115" t="s">
        <v>31</v>
      </c>
      <c r="D30" s="115"/>
      <c r="E30" s="115"/>
    </row>
    <row r="31" spans="3:5">
      <c r="C31" s="115"/>
      <c r="D31" s="115"/>
      <c r="E31" s="115"/>
    </row>
    <row r="32" spans="3:5">
      <c r="C32" s="115"/>
      <c r="D32" s="115"/>
      <c r="E32" s="115"/>
    </row>
    <row r="33" spans="3:5">
      <c r="C33" s="129" t="s">
        <v>271</v>
      </c>
      <c r="D33" s="115"/>
      <c r="E33" s="115"/>
    </row>
    <row r="34" spans="3:5">
      <c r="C34" s="115" t="s">
        <v>265</v>
      </c>
      <c r="D34" s="115"/>
      <c r="E34" s="115"/>
    </row>
    <row r="35" spans="3:5">
      <c r="C35" s="115" t="s">
        <v>266</v>
      </c>
      <c r="D35" s="115"/>
      <c r="E35" s="115"/>
    </row>
    <row r="36" spans="3:5">
      <c r="C36" s="115" t="s">
        <v>267</v>
      </c>
      <c r="D36" s="115"/>
      <c r="E36" s="115"/>
    </row>
    <row r="37" spans="3:5">
      <c r="C37" s="115" t="s">
        <v>278</v>
      </c>
      <c r="D37" s="115"/>
      <c r="E37" s="115"/>
    </row>
    <row r="38" spans="3:5">
      <c r="C38" s="115"/>
      <c r="D38" s="115"/>
      <c r="E38" s="115"/>
    </row>
    <row r="39" spans="3:5">
      <c r="C39" s="129" t="s">
        <v>306</v>
      </c>
      <c r="D39" s="115"/>
      <c r="E39" s="115"/>
    </row>
    <row r="40" spans="3:5">
      <c r="C40" s="115" t="s">
        <v>311</v>
      </c>
      <c r="D40" s="115"/>
      <c r="E40" s="115"/>
    </row>
    <row r="41" spans="3:5">
      <c r="C41" s="115" t="s">
        <v>312</v>
      </c>
      <c r="D41" s="115"/>
      <c r="E41" s="115"/>
    </row>
    <row r="42" spans="3:5">
      <c r="C42" s="115" t="s">
        <v>313</v>
      </c>
      <c r="D42" s="115"/>
      <c r="E42" s="115"/>
    </row>
    <row r="43" spans="3:5">
      <c r="D43" s="115"/>
      <c r="E43" s="115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1DF96F8561F8458009506135AE9E20" ma:contentTypeVersion="11" ma:contentTypeDescription="Create a new document." ma:contentTypeScope="" ma:versionID="f45f3f0bdfe457789a90166973266035">
  <xsd:schema xmlns:xsd="http://www.w3.org/2001/XMLSchema" xmlns:xs="http://www.w3.org/2001/XMLSchema" xmlns:p="http://schemas.microsoft.com/office/2006/metadata/properties" xmlns:ns3="96315bda-9932-40c8-b94f-f678d7c1bfd9" xmlns:ns4="1cf601a1-615f-4e7c-8fff-fe33ab814c56" targetNamespace="http://schemas.microsoft.com/office/2006/metadata/properties" ma:root="true" ma:fieldsID="00ca3c7f49107d22fe56d64e2c0741ca" ns3:_="" ns4:_="">
    <xsd:import namespace="96315bda-9932-40c8-b94f-f678d7c1bfd9"/>
    <xsd:import namespace="1cf601a1-615f-4e7c-8fff-fe33ab814c5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315bda-9932-40c8-b94f-f678d7c1bfd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f601a1-615f-4e7c-8fff-fe33ab814c56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DE1539A-3B21-494B-B744-972EBD062C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315bda-9932-40c8-b94f-f678d7c1bfd9"/>
    <ds:schemaRef ds:uri="1cf601a1-615f-4e7c-8fff-fe33ab814c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3575230-8D4B-48F0-9417-EEECEBFD85C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A5E628-781E-4D6A-A11F-65D2491D075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10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73</vt:i4>
      </vt:variant>
    </vt:vector>
  </HeadingPairs>
  <TitlesOfParts>
    <vt:vector size="86" baseType="lpstr">
      <vt:lpstr>1.Home</vt:lpstr>
      <vt:lpstr>2.Cooling</vt:lpstr>
      <vt:lpstr>3.Report</vt:lpstr>
      <vt:lpstr>Charts</vt:lpstr>
      <vt:lpstr>Model</vt:lpstr>
      <vt:lpstr>Sheet2</vt:lpstr>
      <vt:lpstr>Specific Enthalpy</vt:lpstr>
      <vt:lpstr>INPUTS</vt:lpstr>
      <vt:lpstr>OUTPUTS</vt:lpstr>
      <vt:lpstr>Sheet1</vt:lpstr>
      <vt:lpstr>Current Enthalpy</vt:lpstr>
      <vt:lpstr>Enthalpy 1</vt:lpstr>
      <vt:lpstr>Enthalpy 2</vt:lpstr>
      <vt:lpstr>App</vt:lpstr>
      <vt:lpstr>canTreat</vt:lpstr>
      <vt:lpstr>CAPEXtreat</vt:lpstr>
      <vt:lpstr>CaseName</vt:lpstr>
      <vt:lpstr>Cep</vt:lpstr>
      <vt:lpstr>CF</vt:lpstr>
      <vt:lpstr>Cgf</vt:lpstr>
      <vt:lpstr>chkFlagUnits</vt:lpstr>
      <vt:lpstr>COC</vt:lpstr>
      <vt:lpstr>Cro</vt:lpstr>
      <vt:lpstr>Cscc</vt:lpstr>
      <vt:lpstr>Ctf</vt:lpstr>
      <vt:lpstr>Dhdes</vt:lpstr>
      <vt:lpstr>Dtca</vt:lpstr>
      <vt:lpstr>Dtcr</vt:lpstr>
      <vt:lpstr>Dtpond</vt:lpstr>
      <vt:lpstr>Dtta</vt:lpstr>
      <vt:lpstr>Ebpnr</vt:lpstr>
      <vt:lpstr>Fb</vt:lpstr>
      <vt:lpstr>Fcc</vt:lpstr>
      <vt:lpstr>Fcc_DPcp_Ecp_Eem_9866</vt:lpstr>
      <vt:lpstr>Fd</vt:lpstr>
      <vt:lpstr>Fe</vt:lpstr>
      <vt:lpstr>FlagSelection</vt:lpstr>
      <vt:lpstr>FlagSource</vt:lpstr>
      <vt:lpstr>flgCC</vt:lpstr>
      <vt:lpstr>flgGF</vt:lpstr>
      <vt:lpstr>flgReservoir</vt:lpstr>
      <vt:lpstr>flgRO</vt:lpstr>
      <vt:lpstr>flgTF</vt:lpstr>
      <vt:lpstr>flgTower</vt:lpstr>
      <vt:lpstr>flgTreat</vt:lpstr>
      <vt:lpstr>Fmcc</vt:lpstr>
      <vt:lpstr>Fmu</vt:lpstr>
      <vt:lpstr>Friver</vt:lpstr>
      <vt:lpstr>Fwtin</vt:lpstr>
      <vt:lpstr>GOR</vt:lpstr>
      <vt:lpstr>hcar</vt:lpstr>
      <vt:lpstr>he</vt:lpstr>
      <vt:lpstr>i</vt:lpstr>
      <vt:lpstr>Le</vt:lpstr>
      <vt:lpstr>location</vt:lpstr>
      <vt:lpstr>lpc</vt:lpstr>
      <vt:lpstr>Mgrace</vt:lpstr>
      <vt:lpstr>NH3_</vt:lpstr>
      <vt:lpstr>OPEXtreat</vt:lpstr>
      <vt:lpstr>Pen</vt:lpstr>
      <vt:lpstr>qcc</vt:lpstr>
      <vt:lpstr>Qcr</vt:lpstr>
      <vt:lpstr>Qd</vt:lpstr>
      <vt:lpstr>qmcc</vt:lpstr>
      <vt:lpstr>Qmcr</vt:lpstr>
      <vt:lpstr>RH</vt:lpstr>
      <vt:lpstr>Spond</vt:lpstr>
      <vt:lpstr>SpondOT</vt:lpstr>
      <vt:lpstr>Tair</vt:lpstr>
      <vt:lpstr>Tc</vt:lpstr>
      <vt:lpstr>Tcm</vt:lpstr>
      <vt:lpstr>TDS</vt:lpstr>
      <vt:lpstr>Tgrace</vt:lpstr>
      <vt:lpstr>Tmb</vt:lpstr>
      <vt:lpstr>Tmix</vt:lpstr>
      <vt:lpstr>Tms</vt:lpstr>
      <vt:lpstr>Tpond</vt:lpstr>
      <vt:lpstr>TSS</vt:lpstr>
      <vt:lpstr>Tsw</vt:lpstr>
      <vt:lpstr>Twb</vt:lpstr>
      <vt:lpstr>Type</vt:lpstr>
      <vt:lpstr>Uev</vt:lpstr>
      <vt:lpstr>Utot</vt:lpstr>
      <vt:lpstr>uwind</vt:lpstr>
      <vt:lpstr>Wd</vt:lpstr>
      <vt:lpstr>wqMessage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2018-02-12T23:55:05Z</dcterms:created>
  <dcterms:modified xsi:type="dcterms:W3CDTF">2020-02-27T16:32:11Z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0x010100331DF96F8561F8458009506135AE9E20</vt:lpwstr>
  </property>
  <property fmtid="{D5CDD505-2E9C-101B-9397-08002B2CF9AE}" pid="3" name="MSIP_Label_0dcb255a-fd3f-4c0f-857e-201fa46304da_Enabled">
    <vt:lpwstr>True</vt:lpwstr>
  </property>
  <property fmtid="{D5CDD505-2E9C-101B-9397-08002B2CF9AE}" pid="4" name="MSIP_Label_0dcb255a-fd3f-4c0f-857e-201fa46304da_SiteId">
    <vt:lpwstr>c6ac664b-ae27-4d5d-b4e6-bb5717196fc7</vt:lpwstr>
  </property>
  <property fmtid="{D5CDD505-2E9C-101B-9397-08002B2CF9AE}" pid="5" name="MSIP_Label_0dcb255a-fd3f-4c0f-857e-201fa46304da_Owner">
    <vt:lpwstr>adam.brown@ukaea.uk</vt:lpwstr>
  </property>
  <property fmtid="{D5CDD505-2E9C-101B-9397-08002B2CF9AE}" pid="6" name="MSIP_Label_0dcb255a-fd3f-4c0f-857e-201fa46304da_SetDate">
    <vt:lpwstr>2019-11-06T11:43:06.6993410Z</vt:lpwstr>
  </property>
  <property fmtid="{D5CDD505-2E9C-101B-9397-08002B2CF9AE}" pid="7" name="MSIP_Label_0dcb255a-fd3f-4c0f-857e-201fa46304da_Name">
    <vt:lpwstr>Official</vt:lpwstr>
  </property>
  <property fmtid="{D5CDD505-2E9C-101B-9397-08002B2CF9AE}" pid="8" name="MSIP_Label_0dcb255a-fd3f-4c0f-857e-201fa46304da_Application">
    <vt:lpwstr>Microsoft Azure Information Protection</vt:lpwstr>
  </property>
  <property fmtid="{D5CDD505-2E9C-101B-9397-08002B2CF9AE}" pid="9" name="MSIP_Label_0dcb255a-fd3f-4c0f-857e-201fa46304da_ActionId">
    <vt:lpwstr>ec3e33b6-1311-4cbc-9221-6af309e2eabe</vt:lpwstr>
  </property>
  <property fmtid="{D5CDD505-2E9C-101B-9397-08002B2CF9AE}" pid="10" name="MSIP_Label_0dcb255a-fd3f-4c0f-857e-201fa46304da_Extended_MSFT_Method">
    <vt:lpwstr>Automatic</vt:lpwstr>
  </property>
  <property fmtid="{D5CDD505-2E9C-101B-9397-08002B2CF9AE}" pid="11" name="MSIP_Label_22759de7-3255-46b5-8dfe-736652f9c6c1_Enabled">
    <vt:lpwstr>True</vt:lpwstr>
  </property>
  <property fmtid="{D5CDD505-2E9C-101B-9397-08002B2CF9AE}" pid="12" name="MSIP_Label_22759de7-3255-46b5-8dfe-736652f9c6c1_SiteId">
    <vt:lpwstr>c6ac664b-ae27-4d5d-b4e6-bb5717196fc7</vt:lpwstr>
  </property>
  <property fmtid="{D5CDD505-2E9C-101B-9397-08002B2CF9AE}" pid="13" name="MSIP_Label_22759de7-3255-46b5-8dfe-736652f9c6c1_Owner">
    <vt:lpwstr>adam.brown@ukaea.uk</vt:lpwstr>
  </property>
  <property fmtid="{D5CDD505-2E9C-101B-9397-08002B2CF9AE}" pid="14" name="MSIP_Label_22759de7-3255-46b5-8dfe-736652f9c6c1_SetDate">
    <vt:lpwstr>2019-11-06T11:43:06.6993410Z</vt:lpwstr>
  </property>
  <property fmtid="{D5CDD505-2E9C-101B-9397-08002B2CF9AE}" pid="15" name="MSIP_Label_22759de7-3255-46b5-8dfe-736652f9c6c1_Name">
    <vt:lpwstr>Public</vt:lpwstr>
  </property>
  <property fmtid="{D5CDD505-2E9C-101B-9397-08002B2CF9AE}" pid="16" name="MSIP_Label_22759de7-3255-46b5-8dfe-736652f9c6c1_Application">
    <vt:lpwstr>Microsoft Azure Information Protection</vt:lpwstr>
  </property>
  <property fmtid="{D5CDD505-2E9C-101B-9397-08002B2CF9AE}" pid="17" name="MSIP_Label_22759de7-3255-46b5-8dfe-736652f9c6c1_ActionId">
    <vt:lpwstr>ec3e33b6-1311-4cbc-9221-6af309e2eabe</vt:lpwstr>
  </property>
  <property fmtid="{D5CDD505-2E9C-101B-9397-08002B2CF9AE}" pid="18" name="MSIP_Label_22759de7-3255-46b5-8dfe-736652f9c6c1_Parent">
    <vt:lpwstr>0dcb255a-fd3f-4c0f-857e-201fa46304da</vt:lpwstr>
  </property>
  <property fmtid="{D5CDD505-2E9C-101B-9397-08002B2CF9AE}" pid="19" name="MSIP_Label_22759de7-3255-46b5-8dfe-736652f9c6c1_Extended_MSFT_Method">
    <vt:lpwstr>Automatic</vt:lpwstr>
  </property>
  <property fmtid="{D5CDD505-2E9C-101B-9397-08002B2CF9AE}" pid="20" name="Sensitivity">
    <vt:lpwstr>Official Public</vt:lpwstr>
  </property>
</Properties>
</file>